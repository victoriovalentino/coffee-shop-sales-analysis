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hidePivotFieldList="1" defaultThemeVersion="166925"/>
  <mc:AlternateContent xmlns:mc="http://schemas.openxmlformats.org/markup-compatibility/2006">
    <mc:Choice Requires="x15">
      <x15ac:absPath xmlns:x15ac="http://schemas.microsoft.com/office/spreadsheetml/2010/11/ac" url="D:\Skill Learning for Work\Microsoft Excel - Myskill\"/>
    </mc:Choice>
  </mc:AlternateContent>
  <xr:revisionPtr revIDLastSave="0" documentId="13_ncr:1_{C74F158C-4E68-442A-94CE-692C979C94C4}" xr6:coauthVersionLast="47" xr6:coauthVersionMax="47" xr10:uidLastSave="{00000000-0000-0000-0000-000000000000}"/>
  <bookViews>
    <workbookView xWindow="-108" yWindow="-108" windowWidth="23256" windowHeight="13176" firstSheet="2" activeTab="2" xr2:uid="{B93AFFF8-824F-4751-AA2F-E3944B4C415D}"/>
  </bookViews>
  <sheets>
    <sheet name="01_Pertanyaan" sheetId="2" r:id="rId1"/>
    <sheet name="02_Data_Kotor" sheetId="9" r:id="rId2"/>
    <sheet name="02b_Log_Cleaning" sheetId="11" r:id="rId3"/>
    <sheet name="03_Data Bersih + Analisis" sheetId="1" r:id="rId4"/>
    <sheet name="04_Pivot_Table" sheetId="3" state="hidden" r:id="rId5"/>
    <sheet name="05_Dashboard" sheetId="4" r:id="rId6"/>
    <sheet name="06_Jawaban + Rekomendasi" sheetId="6" r:id="rId7"/>
    <sheet name="07_Dokumentasi_Rumus" sheetId="5" r:id="rId8"/>
  </sheets>
  <definedNames>
    <definedName name="_xlnm._FilterDatabase" localSheetId="3" hidden="1">'03_Data Bersih + Analisis'!$J$11:$K$19</definedName>
    <definedName name="_xlnm._FilterDatabase" localSheetId="7" hidden="1">'07_Dokumentasi_Rumus'!$A$18:$D$22</definedName>
    <definedName name="Slicer_metode_pembayaran">#N/A</definedName>
    <definedName name="Slicer_tanggal">#N/A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11" l="1"/>
  <c r="B7" i="11"/>
  <c r="C5" i="6"/>
  <c r="K27" i="1"/>
  <c r="K26" i="1"/>
  <c r="K25" i="1"/>
  <c r="K6" i="1"/>
  <c r="C6" i="6"/>
  <c r="C4" i="6"/>
  <c r="O13" i="1"/>
  <c r="O12" i="1"/>
  <c r="O11" i="1"/>
  <c r="K13" i="1" a="1"/>
  <c r="K13" i="1" s="1"/>
  <c r="K14" i="1" a="1"/>
  <c r="K14" i="1"/>
  <c r="K15" i="1" a="1"/>
  <c r="K15" i="1" s="1"/>
  <c r="K23" i="1" s="1"/>
  <c r="K16" i="1" a="1"/>
  <c r="K16" i="1"/>
  <c r="K17" i="1" a="1"/>
  <c r="K17" i="1" s="1"/>
  <c r="K18" i="1" a="1"/>
  <c r="K18" i="1" s="1"/>
  <c r="K19" i="1" a="1"/>
  <c r="K19" i="1" s="1"/>
  <c r="K12" i="1" a="1"/>
  <c r="K12" i="1" s="1"/>
  <c r="L7" i="1"/>
  <c r="L6" i="1"/>
  <c r="L5" i="1"/>
  <c r="L4" i="1"/>
  <c r="K8" i="1"/>
  <c r="K7" i="1"/>
  <c r="K5" i="1"/>
  <c r="K4" i="1"/>
  <c r="J12" i="1" a="1"/>
  <c r="J12" i="1" s="1"/>
  <c r="K31" i="1"/>
  <c r="K30" i="1"/>
  <c r="K32" i="1"/>
  <c r="K33" i="1"/>
  <c r="H4" i="1" l="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O5" i="1" l="1"/>
  <c r="O4" i="1"/>
  <c r="O6" i="1"/>
  <c r="L8" i="1"/>
  <c r="L16" i="1" l="1"/>
  <c r="L19" i="1"/>
  <c r="L14" i="1"/>
  <c r="L18" i="1"/>
  <c r="L15" i="1"/>
  <c r="L13" i="1"/>
  <c r="L17" i="1"/>
  <c r="L1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<sst xmlns="http://schemas.openxmlformats.org/spreadsheetml/2006/main" count="819" uniqueCount="371">
  <si>
    <t>order_id</t>
  </si>
  <si>
    <t>tanggal</t>
  </si>
  <si>
    <t>nama_menu</t>
  </si>
  <si>
    <t>kategori</t>
  </si>
  <si>
    <t>harga_satuan</t>
  </si>
  <si>
    <t>jumlah_terjual</t>
  </si>
  <si>
    <t>metode_pembayaran</t>
  </si>
  <si>
    <t>ORD001</t>
  </si>
  <si>
    <t>Americano</t>
  </si>
  <si>
    <t>Minuman</t>
  </si>
  <si>
    <t>QRIS</t>
  </si>
  <si>
    <t>ORD002</t>
  </si>
  <si>
    <t>Cappuccino</t>
  </si>
  <si>
    <t>Tunai</t>
  </si>
  <si>
    <t>ORD003</t>
  </si>
  <si>
    <t>Latte</t>
  </si>
  <si>
    <t>Debit</t>
  </si>
  <si>
    <t>ORD004</t>
  </si>
  <si>
    <t>Croissant</t>
  </si>
  <si>
    <t>Makanan</t>
  </si>
  <si>
    <t>ORD005</t>
  </si>
  <si>
    <t>Matcha Latte</t>
  </si>
  <si>
    <t>ORD006</t>
  </si>
  <si>
    <t>ORD007</t>
  </si>
  <si>
    <t>Chocolate Cake</t>
  </si>
  <si>
    <t>ORD008</t>
  </si>
  <si>
    <t>ORD009</t>
  </si>
  <si>
    <t>Chicken Sandwich</t>
  </si>
  <si>
    <t>ORD010</t>
  </si>
  <si>
    <t>Es Kopi Susu</t>
  </si>
  <si>
    <t>ORD011</t>
  </si>
  <si>
    <t>ORD012</t>
  </si>
  <si>
    <t>ORD013</t>
  </si>
  <si>
    <t>ORD014</t>
  </si>
  <si>
    <t>ORD015</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</si>
  <si>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</si>
  <si>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</si>
  <si>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</si>
  <si>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</si>
  <si>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</si>
  <si>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</si>
  <si>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</si>
  <si>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</si>
  <si>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</si>
  <si>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</si>
  <si>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</si>
  <si>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</si>
  <si>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</si>
  <si>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</si>
  <si>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</si>
  <si>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</si>
  <si>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</si>
  <si>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</si>
  <si>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</si>
  <si>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</si>
  <si>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</si>
  <si>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</si>
  <si>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</si>
  <si>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</si>
  <si>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</si>
  <si>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</si>
  <si>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</si>
  <si>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</si>
  <si>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</si>
  <si>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</si>
  <si>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</si>
  <si>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</si>
  <si>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</si>
  <si>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</si>
  <si>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</si>
  <si>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Pertanyaan Bisnis</t>
  </si>
  <si>
    <t>1. Menu terlaris</t>
  </si>
  <si>
    <t>Menu apa yang memiliki jumlah unit terjual paling banyak selama periode pengamatan? Tampilkan nama menu dan jumlah unit terjualnya.</t>
  </si>
  <si>
    <t>2. Pendapatan minuman</t>
  </si>
  <si>
    <t>3. Rata-rata penjualan per transaksi</t>
  </si>
  <si>
    <t>nilai_transaksi</t>
  </si>
  <si>
    <t>Row Labels</t>
  </si>
  <si>
    <t>Grand Total</t>
  </si>
  <si>
    <t>Sum of jumlah_terjual</t>
  </si>
  <si>
    <t>Nama Menu</t>
  </si>
  <si>
    <t>Total Unit</t>
  </si>
  <si>
    <t>Menu Terlaris</t>
  </si>
  <si>
    <t>Kategori</t>
  </si>
  <si>
    <t>Minimum</t>
  </si>
  <si>
    <t>Maksimum</t>
  </si>
  <si>
    <t>Rata-rata</t>
  </si>
  <si>
    <t>Sum of nilai_transaksi</t>
  </si>
  <si>
    <t>Average of nilai_transaksi</t>
  </si>
  <si>
    <t>Average of jumlah_terjual</t>
  </si>
  <si>
    <t>Count of order_id</t>
  </si>
  <si>
    <t>TABEL PENJUALAN KEDAI KOPI "DUMMY"</t>
  </si>
  <si>
    <t>DASHBOARD PENJUALAN KEDAI KOPI "DUMMY"</t>
  </si>
  <si>
    <t>Kolom Bantu &amp; Tabel Pendukung</t>
  </si>
  <si>
    <t>No</t>
  </si>
  <si>
    <t>Tujuan/Kasus</t>
  </si>
  <si>
    <t>Rumus Excel</t>
  </si>
  <si>
    <t>Penjelasan Singkat</t>
  </si>
  <si>
    <t>Menghitung Nilai Transaksi</t>
  </si>
  <si>
    <t>Menghitung Total Unit per Menu</t>
  </si>
  <si>
    <t>Mengambil daftar nama menu tanpa duplikat (Fungsi Excel 365/2021).</t>
  </si>
  <si>
    <t>Kasus 1: Menu Terlaris (MAX, MIN, IF, Lookup)</t>
  </si>
  <si>
    <t>Mencari Angka Tertinggi</t>
  </si>
  <si>
    <t>Menampilkan Nama Juara (IF)</t>
  </si>
  <si>
    <t>Mencari Nama Juara (INDEX-MATCH)</t>
  </si>
  <si>
    <t>Mencari Nama Juara (XLOOKUP)</t>
  </si>
  <si>
    <t>Mencari nilai unit terjual paling banyak.</t>
  </si>
  <si>
    <t>Mencari nilai unit terjual paling sedikit.</t>
  </si>
  <si>
    <t>Menampilkan nama menu JIKA nilai unitnya sama dengan MAX.</t>
  </si>
  <si>
    <t>Mencari nama menu berdasarkan nilai MAX (metode klasik).</t>
  </si>
  <si>
    <t>Mencari nama menu berdasarkan nilai MAX (metode modern).</t>
  </si>
  <si>
    <t>Kasus 2: Pendapatan Minuman (SUM, SUMIF, SUMIFS)</t>
  </si>
  <si>
    <t>Menjumlahkan pendapatan HANYA untuk kategori Minuman.</t>
  </si>
  <si>
    <t>Sama seperti di atas, tapi menggunakan SUMIFS (lebih disarankan).</t>
  </si>
  <si>
    <t>Menampilkan nilai transaksi JIKA kategori Minuman (butuh kolom bantu).</t>
  </si>
  <si>
    <t>Logika AND/OR</t>
  </si>
  <si>
    <t>Total Pendapatan Kategori (SUMIFS)</t>
  </si>
  <si>
    <t>Total Pendapatan Kategori (SUMIF)</t>
  </si>
  <si>
    <t>Kasus 3: Rata-rata &amp; Statistik (AVERAGE, COUNT, ROUND)</t>
  </si>
  <si>
    <t>Rata-rata Nilai Transaksi</t>
  </si>
  <si>
    <t>Rata-rata Unit Terjual</t>
  </si>
  <si>
    <t>Menghitung Data Angka</t>
  </si>
  <si>
    <t>Menghitung rata-rata uang yang dibelanjakan per transaksi.</t>
  </si>
  <si>
    <t>Menghitung jumlah sel yang berisi angka (validasi data).</t>
  </si>
  <si>
    <t>Menghitung jumlah baris transaksi (order ID).</t>
  </si>
  <si>
    <t>Pembulatan Ribuan</t>
  </si>
  <si>
    <t>Nilai Terendah per Kategori</t>
  </si>
  <si>
    <t>Nilai Tertinggi per Kategori</t>
  </si>
  <si>
    <t>Rata-rata per Kategori</t>
  </si>
  <si>
    <t>Rata-rata Manual (SUM/COUNT)</t>
  </si>
  <si>
    <t>Mencari transaksi termurah khusus Makanan.</t>
  </si>
  <si>
    <t>Mencari rata-rata nilai transaksi khusus Minuman.</t>
  </si>
  <si>
    <t>Jawaban</t>
  </si>
  <si>
    <t>Menu terlaris</t>
  </si>
  <si>
    <t>Total pendapatan minuman</t>
  </si>
  <si>
    <t>Rata-rata penjualan per transaksi</t>
  </si>
  <si>
    <t>JAWABAN</t>
  </si>
  <si>
    <t>INSIGHT &amp; REKOMENDASI BISNIS</t>
  </si>
  <si>
    <t>Temuan Data (Insight)</t>
  </si>
  <si>
    <t>Rekomendasi Aksi (Action Plan)</t>
  </si>
  <si>
    <t>Berapa rata-rata nilai penjualan setiap transaksi? Tentukan juga apakah rata-rata yang kamu gunakan adalah rata-rata nilai transaksi atau rata-rata unit terjual.</t>
  </si>
  <si>
    <t xml:space="preserve">Berapa total pendapatan dari seluruh produk berkategori Minuman? </t>
  </si>
  <si>
    <t>22,000</t>
  </si>
  <si>
    <t>2</t>
  </si>
  <si>
    <t>MINUMAN</t>
  </si>
  <si>
    <t>Chocolate cake</t>
  </si>
  <si>
    <t>tunai</t>
  </si>
  <si>
    <t>25.000</t>
  </si>
  <si>
    <t>makanan</t>
  </si>
  <si>
    <t>2026-10-07</t>
  </si>
  <si>
    <t>Rp 22.000</t>
  </si>
  <si>
    <t>ord031</t>
  </si>
  <si>
    <t xml:space="preserve">Croissant </t>
  </si>
  <si>
    <t xml:space="preserve">ORD028 </t>
  </si>
  <si>
    <t>Choco Cake</t>
  </si>
  <si>
    <t>3 pcs</t>
  </si>
  <si>
    <t>minuman</t>
  </si>
  <si>
    <t>Rp32.000</t>
  </si>
  <si>
    <t>Cappucino</t>
  </si>
  <si>
    <t>04 Okt 2026</t>
  </si>
  <si>
    <t xml:space="preserve">Minuman </t>
  </si>
  <si>
    <t>Es Kopi  Susu</t>
  </si>
  <si>
    <t xml:space="preserve">Latte </t>
  </si>
  <si>
    <t>matcha latte</t>
  </si>
  <si>
    <t>americano</t>
  </si>
  <si>
    <t>03/10/2026</t>
  </si>
  <si>
    <t>cash</t>
  </si>
  <si>
    <t>MAKANAN</t>
  </si>
  <si>
    <t>Capuccino</t>
  </si>
  <si>
    <t>22000</t>
  </si>
  <si>
    <t>es kopi susu</t>
  </si>
  <si>
    <t>DEBIT</t>
  </si>
  <si>
    <t>Chicken sandwich</t>
  </si>
  <si>
    <t xml:space="preserve">LATTE </t>
  </si>
  <si>
    <t xml:space="preserve">Makanan </t>
  </si>
  <si>
    <t xml:space="preserve"> Americano</t>
  </si>
  <si>
    <t>Matcha latte</t>
  </si>
  <si>
    <t xml:space="preserve">QRIS </t>
  </si>
  <si>
    <t>croissant</t>
  </si>
  <si>
    <t>debit</t>
  </si>
  <si>
    <t>latte</t>
  </si>
  <si>
    <t>Cash</t>
  </si>
  <si>
    <t>qris</t>
  </si>
  <si>
    <t>18000</t>
  </si>
  <si>
    <r>
      <rPr>
        <b/>
        <sz val="11"/>
        <color rgb="FF0F1115"/>
        <rFont val="Calibri"/>
        <family val="2"/>
        <scheme val="minor"/>
      </rPr>
      <t>Menu Kurang Laku:</t>
    </r>
    <r>
      <rPr>
        <sz val="11"/>
        <color rgb="FF0F1115"/>
        <rFont val="Calibri"/>
        <family val="2"/>
        <scheme val="minor"/>
      </rPr>
      <t xml:space="preserve"> Chocolate Cake lemah di unit (9) dan pendapatan (Rp 198.000). Chicken Sandwich unitnya rendah (9), tapi pendapatannya lebih sehat (Rp 288.000).</t>
    </r>
  </si>
  <si>
    <t>ASUMSI &amp; KETERBATASAN ANALISIS</t>
  </si>
  <si>
    <t>Rekomendasi bisnis bersifat awal (preliminary) dan perlu divalidasi dengan data historis yang lebih panjang (minimal 1-3 bulan).</t>
  </si>
  <si>
    <t>Satu baris pesanan (order) diasumsikan hanya berisi satu jenis menu, sehingga pola pembelian bersamaan (analisis keranjang belanja) tidak dapat dianalisis dari data ini.</t>
  </si>
  <si>
    <t>Analisis didasarkan pada 50 transaksi selama 10 hari (1-10 Oktober 2026).</t>
  </si>
  <si>
    <t>Total</t>
  </si>
  <si>
    <t>Rata-Rata (SUMIF/COUNTIF)</t>
  </si>
  <si>
    <t>Maksimal (Unit)</t>
  </si>
  <si>
    <t>Minimal (Unit)</t>
  </si>
  <si>
    <t>Rata-Rata (Unit</t>
  </si>
  <si>
    <t>Nilai Unit</t>
  </si>
  <si>
    <t>Statistik Nilai Transaksi Keseluruhan</t>
  </si>
  <si>
    <t>Rekapitulasi Total Unit Terjual per Menu</t>
  </si>
  <si>
    <t>Statistik Kuantitas per Transaksi</t>
  </si>
  <si>
    <t>Ringkasan</t>
  </si>
  <si>
    <t>Mengambil Daftar Menu Unik</t>
  </si>
  <si>
    <t>=UNIQUE(C4:C53)</t>
  </si>
  <si>
    <t>=SUMIF(D4:D53, "Minuman", H4:H53)</t>
  </si>
  <si>
    <t>Nilai Transaksi</t>
  </si>
  <si>
    <t>=SUMIFS(H4:H53, D4:D53, "Minuman")</t>
  </si>
  <si>
    <t>=IF(D4:D53="Minuman", H4:H53, 0)</t>
  </si>
  <si>
    <t>=AVERAGE(F4:F53)</t>
  </si>
  <si>
    <t>=COUNTA(A4:A53)</t>
  </si>
  <si>
    <t>=ROUND(AVERAGE(H4:H53), -3)</t>
  </si>
  <si>
    <t>=MAXIFS(H4:H53, D4:D53, "Minuman")</t>
  </si>
  <si>
    <t>QR Code</t>
  </si>
  <si>
    <t>debit card</t>
  </si>
  <si>
    <t>satu</t>
  </si>
  <si>
    <t>Kartu Debit</t>
  </si>
  <si>
    <t>dua</t>
  </si>
  <si>
    <t>Sheet 03 dan seterusnya dibangun dari data yang sudah melewati langkah di atas.</t>
  </si>
  <si>
    <t>Format tanggal "03/10/2026" dibaca sebagai dd/mm/yyyy (3 Oktober), konsisten dengan urutan order pada hari yang sama.</t>
  </si>
  <si>
    <t>ORD038 (40 unit) dianggap salah ketik dari 4 unit. Ini satu-satunya koreksi berbasis asumsi; koreksi lain dapat dibuktikan langsung dari data.</t>
  </si>
  <si>
    <t>E. Catatan Asumsi</t>
  </si>
  <si>
    <t>Verifikasi: 50 baris, 8 menu, 2 kategori, 3 metode bayar, tanggal 01-10 Oktober 2026, tanpa sel kosong.</t>
  </si>
  <si>
    <t>Bersihkan jumlah_terjual (teks/kata -&gt; angka), lalu tangani outlier ORD038.</t>
  </si>
  <si>
    <t>Bersihkan harga_satuan (angka), lalu isi yang kosong dari harga menu yang sama.</t>
  </si>
  <si>
    <t>Ubah tanggal teks ke format tanggal; isi tanggal kosong dari baris tetangga.</t>
  </si>
  <si>
    <t>Samakan metode_pembayaran memakai kamus.</t>
  </si>
  <si>
    <t>Rapikan nama_menu dan kategori (TRIM, PROPER), lalu terapkan kamus alias.</t>
  </si>
  <si>
    <t>Hapus duplikat (Remove Duplicates pada seluruh kolom) -&gt; 53 menjadi 50 baris.</t>
  </si>
  <si>
    <t>Rapikan order_id (TRIM, UPPER).</t>
  </si>
  <si>
    <t>Salin 02_Data_Kotor ke area kerja baru (jangan timpa data mentah).</t>
  </si>
  <si>
    <t>D. Urutan Pengerjaan yang Disarankan</t>
  </si>
  <si>
    <t>debit / DEBIT</t>
  </si>
  <si>
    <t>Cash / cash / tunai</t>
  </si>
  <si>
    <t>qris / QRIS</t>
  </si>
  <si>
    <t>Nilai Baku</t>
  </si>
  <si>
    <t>Nilai Kotor</t>
  </si>
  <si>
    <t>Kolom</t>
  </si>
  <si>
    <t>Hanya ada 3 metode bayar; semua variasi punya makna yang sama.</t>
  </si>
  <si>
    <t>TRIM, PROPER, Find &amp; Replace</t>
  </si>
  <si>
    <t>Samakan ke 3 nilai baku: QRIS, Tunai, Debit lewat kamus (bagian C).</t>
  </si>
  <si>
    <t>qris, QR Code -&gt; QRIS; Cash, cash -&gt; Tunai; debit, Kartu Debit, debit card -&gt; Debit</t>
  </si>
  <si>
    <t>10 sel</t>
  </si>
  <si>
    <t>Variasi penulisan</t>
  </si>
  <si>
    <t>49 order lain berkisar 1-6 unit; 40 paling mungkin salah ketik (angka 0 berlebih). Jika ragu, konfirmasi ke kasir.</t>
  </si>
  <si>
    <t>Filter / Conditional Formatting, lalu edit manual</t>
  </si>
  <si>
    <t>Koreksi menjadi 4 dan tandai sebagai ASUMSI.</t>
  </si>
  <si>
    <t>ORD038: 40 -&gt; 4</t>
  </si>
  <si>
    <t>1 sel</t>
  </si>
  <si>
    <t>Outlier</t>
  </si>
  <si>
    <t>Kata bilangan dan satuan jelas maknanya, sehingga dapat diterjemahkan tanpa menebak.</t>
  </si>
  <si>
    <t>SUBSTITUTE, VALUE, Find &amp; Replace</t>
  </si>
  <si>
    <t>Buang teks satuan, ubah kata menjadi angka, ubah ke bilangan.</t>
  </si>
  <si>
    <t>"3 pcs" -&gt; 3; "2" -&gt; 2; dua -&gt; 2; satu -&gt; 1</t>
  </si>
  <si>
    <t>4 sel</t>
  </si>
  <si>
    <t>Berupa teks atau kata</t>
  </si>
  <si>
    <t>Setiap menu punya satu harga tetap di seluruh data, jadi aman dipulihkan.</t>
  </si>
  <si>
    <t>INDEX-MATCH / VLOOKUP</t>
  </si>
  <si>
    <t>Isi dengan harga menu yang sama di baris lain.</t>
  </si>
  <si>
    <t>ORD029 (Latte) -&gt; 25000; ORD044 (Matcha Latte) -&gt; 28000</t>
  </si>
  <si>
    <t>2 sel</t>
  </si>
  <si>
    <t>Kosong</t>
  </si>
  <si>
    <t>Harga dalam Rupiah utuh tanpa desimal; titik/koma di sini pemisah ribuan.</t>
  </si>
  <si>
    <t>SUBSTITUTE, VALUE</t>
  </si>
  <si>
    <t>Buang "Rp", spasi, titik, koma, lalu ubah ke angka.</t>
  </si>
  <si>
    <t>Rp32.000 -&gt; 32000; 25.000 -&gt; 25000; 22,000 -&gt; 22000</t>
  </si>
  <si>
    <t>6 sel</t>
  </si>
  <si>
    <t>Tersimpan sebagai teks atau berformat Rp/titik/koma</t>
  </si>
  <si>
    <t>Hanya ada 2 kategori baku: Makanan dan Minuman.</t>
  </si>
  <si>
    <t>TRIM, PROPER</t>
  </si>
  <si>
    <t>Hapus spasi dan samakan huruf.</t>
  </si>
  <si>
    <t>MAKANAN -&gt; Makanan; "Minuman " -&gt; Minuman</t>
  </si>
  <si>
    <t>7 sel</t>
  </si>
  <si>
    <t>Huruf besar/kecil dan spasi di akhir</t>
  </si>
  <si>
    <t>Daftar menu baku ada 8 item. Alias dipetakan ke menu yang jelas harga dan kategorinya sama.</t>
  </si>
  <si>
    <t>Rapikan spasi dan huruf, lalu samakan alias lewat kamus (bagian C).</t>
  </si>
  <si>
    <t>latte, LATTE  -&gt; Latte; Capuccino -&gt; Cappuccino; Choco Cake -&gt; Chocolate Cake</t>
  </si>
  <si>
    <t>16 sel</t>
  </si>
  <si>
    <t>Huruf besar/kecil, spasi, typo, dan alias</t>
  </si>
  <si>
    <t>Order tercatat urut; ORD042 dan ORD044 sama-sama 09/10/2026, sehingga ORD043 pasti di hari yang sama.</t>
  </si>
  <si>
    <t>Isi manual / rumus</t>
  </si>
  <si>
    <t>Isi dengan tanggal baris sebelum dan sesudahnya.</t>
  </si>
  <si>
    <t>ORD043: (kosong) -&gt; 09/10/2026</t>
  </si>
  <si>
    <t>Format dd/mm/yyyy mengikuti kebiasaan Indonesia dan cocok dengan tanggal order di sekitarnya (urut per hari).</t>
  </si>
  <si>
    <t>DATEVALUE, Text to Columns, Find &amp; Replace (Okt -&gt; Oct)</t>
  </si>
  <si>
    <t>Ubah ke format tanggal dd/mm/yyyy.</t>
  </si>
  <si>
    <t>03/10/2026; 04 Okt 2026; 2026-10-07 -&gt; tanggal sebenarnya</t>
  </si>
  <si>
    <t>3 sel</t>
  </si>
  <si>
    <t>Tersimpan sebagai teks dengan format berbeda</t>
  </si>
  <si>
    <t>order_id sama dan seluruh kolom identik, jadi merupakan pencatatan ganda. Dibuktikan setelah order_id dirapikan.</t>
  </si>
  <si>
    <t>Remove Duplicates</t>
  </si>
  <si>
    <t>Hapus kemunculan kedua, simpan yang pertama.</t>
  </si>
  <si>
    <t>ORD007, ORD023, ORD045 muncul 2 kali</t>
  </si>
  <si>
    <t>3 baris</t>
  </si>
  <si>
    <t>Baris duplikat persis</t>
  </si>
  <si>
    <t>Semua kolom</t>
  </si>
  <si>
    <t>ID harus seragam sebelum dipakai sebagai kunci duplikat.</t>
  </si>
  <si>
    <t>TRIM, UPPER</t>
  </si>
  <si>
    <t>Hapus spasi, ubah ke huruf besar. Dikerjakan PERTAMA agar duplikat terdeteksi.</t>
  </si>
  <si>
    <t>Huruf kecil dan spasi di akhir</t>
  </si>
  <si>
    <t>Dasar Keputusan</t>
  </si>
  <si>
    <t>Alat Excel</t>
  </si>
  <si>
    <t>Tindakan</t>
  </si>
  <si>
    <t>Jumlah</t>
  </si>
  <si>
    <t>Masalah</t>
  </si>
  <si>
    <t>B. Daftar Masalah dan Tindakan</t>
  </si>
  <si>
    <t>Baris data bersih (sesuai Table_Penjualan)</t>
  </si>
  <si>
    <t>Baris duplikat dihapus</t>
  </si>
  <si>
    <t>Baris data kotor</t>
  </si>
  <si>
    <t>Keterangan</t>
  </si>
  <si>
    <t>A. Rekonsiliasi Jumlah Baris</t>
  </si>
  <si>
    <t>LOG CLEANING - DATA PENJUALAN KEDAI KOPI "DUMMY"</t>
  </si>
  <si>
    <t>=E4*F4</t>
  </si>
  <si>
    <t>=MIN(K12:K19)</t>
  </si>
  <si>
    <t>=IF(K12=MAX($K$12:$K$19), J12, "")</t>
  </si>
  <si>
    <t>=INDEX(J12:J19, MATCH(MAX(K12:K19), K12:K19, 0))</t>
  </si>
  <si>
    <t>=XLOOKUP(MAX(K12:K19), K12:K19, J12:J19)</t>
  </si>
  <si>
    <t>Mengecek JIKA Minuman DAN dibayar pakai QRIS.</t>
  </si>
  <si>
    <t>=SUMIF(D4:D53,"Makanan",H4:H53)/COUNTIF(D4:D53,"Makanan")</t>
  </si>
  <si>
    <t>Statistik Nilai Transaksi per Kategori</t>
  </si>
  <si>
    <t>=SUMPRODUCT((C4:C53=$J12)*F4:F53)</t>
  </si>
  <si>
    <t>Menjumlahkan unit terjual khusus untuk menu yang disebut di sel J12.</t>
  </si>
  <si>
    <t>=IF(AND(D4="Minuman", G4="QRIS"), "Ya", "Tidak")</t>
  </si>
  <si>
    <t>Mencari Angka Terendah</t>
  </si>
  <si>
    <t>=MAX(K12:K19)</t>
  </si>
  <si>
    <t>=MINIFS(H4:H53, D4:D53, "Makanan")</t>
  </si>
  <si>
    <t>=COUNT(H4:H53)</t>
  </si>
  <si>
    <t>=AVERAGE(H4:H53)</t>
  </si>
  <si>
    <t>Mengalikan harga dengan jumlah di baris yang sama.</t>
  </si>
  <si>
    <t>Rata-Rata (AVERAGEIFS)</t>
  </si>
  <si>
    <t>Analisis Tambahan (MINIFS, MAXIFS, AVERAGEIFS)</t>
  </si>
  <si>
    <t>=AVERAGEIFS(H4:H53, D4:D53, "Makanan")</t>
  </si>
  <si>
    <t>Total Pendapatan (Slicer)</t>
  </si>
  <si>
    <t>Jumlah Transaksi (Slicer)</t>
  </si>
  <si>
    <t>Item Terjual (Slicer)</t>
  </si>
  <si>
    <t>Rata-Rata per Transaksi (Slicer)</t>
  </si>
  <si>
    <t>Penjualan Unit Tertinggi</t>
  </si>
  <si>
    <t>Penjualan Unit Terendah</t>
  </si>
  <si>
    <t>Penjualan Unit Rata-Rata</t>
  </si>
  <si>
    <t>Dashboard &amp; Data Interaktif</t>
  </si>
  <si>
    <t>Mengambil Data dari Pivot (GETPIVOTDATA)</t>
  </si>
  <si>
    <t>Mencegah Error saat Slicer Kosong (IFERROR)</t>
  </si>
  <si>
    <t>Membuat Tabel Ringkasan Dinamis</t>
  </si>
  <si>
    <t>=SUMIF($J$12:$J$19, J23, $K$12:$K$19)</t>
  </si>
  <si>
    <t>=IFERROR(GETPIVOTDATA(...), 0)</t>
  </si>
  <si>
    <t>=GETPIVOTDATA("Sum of nilai_transaksi",'04_Pivot_Table'!$D$1)</t>
  </si>
  <si>
    <t>Membungkus rumus GETPIVOTDATA agar menampilkan angka 0 (bukan #REF!) jika filter Slicer tidak menemukan data.</t>
  </si>
  <si>
    <t>Menghitung rata-rata dengan membagi total nilai dengan jumlah transaksi.</t>
  </si>
  <si>
    <t>Mencari transaksi termahal khusus Minuman.</t>
  </si>
  <si>
    <t>Membulatkan rata-rata ke ribuan terdekat (misal: 57.560 jadi 58.000).</t>
  </si>
  <si>
    <t>Menghitung rata-rata jumlah barang yang dibeli per transaksi (2,48).</t>
  </si>
  <si>
    <t>Mengambil nilai spesifik dari PivotTable secara dinamis.</t>
  </si>
  <si>
    <t>Menjumlahkan data berdasarkan nama menu yang dipilih pada dropdown di tabel ringkasan.</t>
  </si>
  <si>
    <t>Menghitung Data Tidak Kosong</t>
  </si>
  <si>
    <t>Total Pendapatan via IF</t>
  </si>
  <si>
    <t>Rujukan Lanjutan</t>
  </si>
  <si>
    <t>Menautkan Jawaban ke Sheet Lain</t>
  </si>
  <si>
    <t>Mengambil Total dari Tabel (Structured Ref)</t>
  </si>
  <si>
    <t>='03_Data Bersih + Analisis'!O6</t>
  </si>
  <si>
    <t>=Table2[[#Totals],[Minuman]]</t>
  </si>
  <si>
    <t>Mengambil nilai dari sheet lain (agar jawaban di laporan otomatis ter-update tanpa ketik manual).</t>
  </si>
  <si>
    <t>Mengambil angka dari baris "Total" spesifik pada kolom "Minuman" di tabel. Sangat berguna jika baris data bertambah.</t>
  </si>
  <si>
    <r>
      <rPr>
        <b/>
        <sz val="11"/>
        <color theme="1"/>
        <rFont val="Calibri"/>
        <family val="2"/>
        <scheme val="minor"/>
      </rPr>
      <t>Es Kopi Susu Menjadi Kontributor Utama:</t>
    </r>
    <r>
      <rPr>
        <sz val="11"/>
        <color theme="1"/>
        <rFont val="Calibri"/>
        <family val="2"/>
        <scheme val="minor"/>
      </rPr>
      <t xml:space="preserve"> Terjual 28 unit, menyumbang porsi terbesar pendapatan minuman.</t>
    </r>
  </si>
  <si>
    <r>
      <rPr>
        <b/>
        <sz val="11"/>
        <color theme="1"/>
        <rFont val="Calibri"/>
        <family val="2"/>
        <scheme val="minor"/>
      </rPr>
      <t xml:space="preserve">Jaga Stok &amp; Loyalitas: </t>
    </r>
    <r>
      <rPr>
        <sz val="11"/>
        <color theme="1"/>
        <rFont val="Calibri"/>
        <family val="2"/>
        <scheme val="minor"/>
      </rPr>
      <t>Pastikan ketersediaan bahan baku "Es Kopi Susu" selalu aman. Buat program loyalitas (misal: Buy 5 Get 1 Free) khusus "Es Kopi Susu" untuk mempertahankan pelanggan.</t>
    </r>
  </si>
  <si>
    <r>
      <rPr>
        <b/>
        <sz val="11"/>
        <color theme="1"/>
        <rFont val="Calibri"/>
        <family val="2"/>
        <scheme val="minor"/>
      </rPr>
      <t>Minuman Mendominasi:</t>
    </r>
    <r>
      <rPr>
        <sz val="11"/>
        <color theme="1"/>
        <rFont val="Calibri"/>
        <family val="2"/>
        <scheme val="minor"/>
      </rPr>
      <t xml:space="preserve"> Pendapatan Minuman (Rp 2,112,000) sekitar 2,8x lipat Makanan (Rp 766,000).</t>
    </r>
  </si>
  <si>
    <r>
      <rPr>
        <b/>
        <sz val="11"/>
        <color theme="1"/>
        <rFont val="Calibri"/>
        <family val="2"/>
        <scheme val="minor"/>
      </rPr>
      <t>Strategi Bundling (Perlu Diuji Coba):</t>
    </r>
    <r>
      <rPr>
        <sz val="11"/>
        <color theme="1"/>
        <rFont val="Calibri"/>
        <family val="2"/>
        <scheme val="minor"/>
      </rPr>
      <t xml:space="preserve"> Buat paket hemat (Kopi + Croissant) untuk "mengangkat" penjualan makanan yang masih rendah. (Catatan: Data saat ini belum menunjukkan pola pembelian bersamaan, sehingga promo ini perlu diuji efektivitasnya).</t>
    </r>
  </si>
  <si>
    <r>
      <rPr>
        <b/>
        <sz val="11"/>
        <color theme="1"/>
        <rFont val="Calibri"/>
        <family val="2"/>
        <scheme val="minor"/>
      </rPr>
      <t>Rata-rata Belanja:</t>
    </r>
    <r>
      <rPr>
        <sz val="11"/>
        <color theme="1"/>
        <rFont val="Calibri"/>
        <family val="2"/>
        <scheme val="minor"/>
      </rPr>
      <t xml:space="preserve"> Pelanggan belanja Rp 57,560 per transaksi. Pelanggan rata-rata membeli 2,7 gelas minuman per transaksi.</t>
    </r>
  </si>
  <si>
    <r>
      <rPr>
        <b/>
        <sz val="11"/>
        <color theme="1"/>
        <rFont val="Calibri"/>
        <family val="2"/>
        <scheme val="minor"/>
      </rPr>
      <t>Upselling:</t>
    </r>
    <r>
      <rPr>
        <sz val="11"/>
        <color theme="1"/>
        <rFont val="Calibri"/>
        <family val="2"/>
        <scheme val="minor"/>
      </rPr>
      <t xml:space="preserve"> Tawarkan topping tambahan (extra shot / oat milk) atau camilan. (Contoh: Penambahan 1 item seharga Rp 7.500 dapat menaikkan rata-rata transaksi menjadi Rp 65.000+).</t>
    </r>
  </si>
  <si>
    <r>
      <rPr>
        <b/>
        <sz val="11"/>
        <color theme="1"/>
        <rFont val="Calibri"/>
        <family val="2"/>
        <scheme val="minor"/>
      </rPr>
      <t>Metode Pembayaran Terbanyak:</t>
    </r>
    <r>
      <rPr>
        <sz val="11"/>
        <color theme="1"/>
        <rFont val="Calibri"/>
        <family val="2"/>
        <scheme val="minor"/>
      </rPr>
      <t xml:space="preserve"> QRIS digunakan pada 22 dari 50 transaksi (44%).</t>
    </r>
  </si>
  <si>
    <r>
      <rPr>
        <b/>
        <sz val="11"/>
        <color theme="1"/>
        <rFont val="Calibri"/>
        <family val="2"/>
        <scheme val="minor"/>
      </rPr>
      <t xml:space="preserve">Digitalisasi: </t>
    </r>
    <r>
      <rPr>
        <sz val="11"/>
        <color theme="1"/>
        <rFont val="Calibri"/>
        <family val="2"/>
        <scheme val="minor"/>
      </rPr>
      <t xml:space="preserve">Pastikan jaringan QRIS lancar. Adakan kerja sama cashback dengan </t>
    </r>
    <r>
      <rPr>
        <i/>
        <sz val="11"/>
        <color theme="1"/>
        <rFont val="Calibri"/>
        <family val="2"/>
        <scheme val="minor"/>
      </rPr>
      <t>e-wallet</t>
    </r>
    <r>
      <rPr>
        <sz val="11"/>
        <color theme="1"/>
        <rFont val="Calibri"/>
        <family val="2"/>
        <scheme val="minor"/>
      </rPr>
      <t xml:space="preserve"> untuk menarik pelanggan digital.</t>
    </r>
  </si>
  <si>
    <r>
      <rPr>
        <b/>
        <sz val="11"/>
        <color theme="1"/>
        <rFont val="Calibri"/>
        <family val="2"/>
        <scheme val="minor"/>
      </rPr>
      <t>Evaluasi &amp; Pertahankan:</t>
    </r>
    <r>
      <rPr>
        <sz val="11"/>
        <color theme="1"/>
        <rFont val="Calibri"/>
        <family val="2"/>
        <scheme val="minor"/>
      </rPr>
      <t xml:space="preserve"> Evaluasi rasa/porsi Chocolate Cake. Pertahankan Chicken Sandwich karena harganya yang tinggi (Rp 32.000) memberikan margin pendapatan yang lebih baik.</t>
    </r>
  </si>
  <si>
    <r>
      <rPr>
        <b/>
        <sz val="11"/>
        <color theme="1"/>
        <rFont val="Calibri"/>
        <family val="2"/>
        <scheme val="minor"/>
      </rPr>
      <t>Fluktuasi Nilai per Order:</t>
    </r>
    <r>
      <rPr>
        <sz val="11"/>
        <color theme="1"/>
        <rFont val="Calibri"/>
        <family val="2"/>
        <scheme val="minor"/>
      </rPr>
      <t xml:space="preserve"> Pendapatan harian berkisar Rp 224.000 sampai Rp 349.000. Karena jumlah order tetap 5 per hari, selisih pendapatan murni dipicu oleh nilai transaksi per pelanggan, bukan karena jumlah pelanggan.</t>
    </r>
  </si>
  <si>
    <r>
      <rPr>
        <b/>
        <sz val="11"/>
        <color theme="1"/>
        <rFont val="Calibri"/>
        <family val="2"/>
        <scheme val="minor"/>
      </rPr>
      <t xml:space="preserve">Pantau Nilai per Order: </t>
    </r>
    <r>
      <rPr>
        <sz val="11"/>
        <color theme="1"/>
        <rFont val="Calibri"/>
        <family val="2"/>
        <scheme val="minor"/>
      </rPr>
      <t>Pantau nilai transaksi harian dan uji apakah pola hari kerja vs akhir pekan konsisten pada data yang lebih panjang. Belum cukup bukti untuk mengambil keputusan terkait stok.</t>
    </r>
  </si>
  <si>
    <t>ord031 -&gt; ORD031; "ORD028" -&gt; ORD028</t>
  </si>
  <si>
    <t>sebelum -&gt; sesudah</t>
  </si>
  <si>
    <t>C. Nilai Kotor -&gt; Nilai Baku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</si>
</sst>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Rp-421]* #,##0_-;\-[$Rp-421]* #,##0_-;_-[$Rp-421]* &quot;-&quot;_-;_-@_-"/>
    <numFmt numFmtId="165" formatCode="dd/mm/yyyy;@"/>
    <numFmt numFmtId="166" formatCode="dd/mm/yyyy"/>
    <numFmt numFmtId="167" formatCode="dd\ mmm"/>
    <numFmt numFmtId="168" formatCode="&quot;Total Pendapatan&quot;\ &quot;Rp&quot;\ #,##0"/>
    <numFmt numFmtId="169" formatCode="&quot;Jumlah Transaksi&quot;\ 0"/>
    <numFmt numFmtId="170" formatCode="&quot;Item Terjual&quot;\ 0"/>
    <numFmt numFmtId="171" formatCode="&quot;Rata-Rata per Transaksi&quot;\ &quot;Rp&quot;\ #,#00"/>
  </numFmts>
  <fonts count="25" x14ac:knownFonts="1">
    <font>
      <sz val="11"/>
      <color theme="1"/>
      <name val="Calibri"/>
      <family val="2"/>
      <scheme val="minor"/>
    </font>
    <font>
      <b/>
      <sz val="11"/>
      <color theme="0"/>
      <name val="Calibri"/>
      <family val="2"/>
      <scheme val="minor"/>
    </font>
    <font>
      <b/>
      <sz val="11"/>
      <color theme="1"/>
      <name val="Calibri"/>
      <family val="2"/>
      <scheme val="minor"/>
    </font>
    <font>
      <b/>
      <sz val="14"/>
      <color theme="1"/>
      <name val="Calibri"/>
      <family val="2"/>
      <scheme val="minor"/>
    </font>
    <font>
      <b/>
      <sz val="14"/>
      <color theme="0"/>
      <name val="Calibri"/>
      <family val="2"/>
      <scheme val="minor"/>
    </font>
    <font>
      <sz val="11"/>
      <color rgb="FF0F1115"/>
      <name val="Calibri"/>
      <family val="2"/>
      <scheme val="minor"/>
    </font>
    <font>
      <b/>
      <sz val="11"/>
      <color rgb="FF0F1115"/>
      <name val="Calibri"/>
      <family val="2"/>
      <scheme val="minor"/>
    </font>
    <font>
      <i/>
      <sz val="11"/>
      <color theme="1"/>
      <name val="Calibri"/>
      <family val="2"/>
      <scheme val="minor"/>
    </font>
    <font>
      <sz val="10"/>
      <name val="Arial"/>
      <family val="2"/>
    </font>
    <font>
      <sz val="11"/>
      <color theme="1"/>
      <name val="Calibri"/>
      <family val="2"/>
      <charset val="1"/>
    </font>
    <font>
      <b/>
      <sz val="10"/>
      <name val="Arial"/>
      <family val="2"/>
    </font>
    <font>
      <b/>
      <sz val="14"/>
      <color theme="0"/>
      <name val="Arial"/>
      <family val="2"/>
    </font>
    <font>
      <b/>
      <sz val="12"/>
      <color theme="1"/>
      <name val="Calibri"/>
      <family val="2"/>
      <scheme val="minor"/>
    </font>
    <font>
      <sz val="11"/>
      <color theme="1"/>
      <name val="Calibri"/>
      <family val="2"/>
      <scheme val="minor"/>
    </font>
    <font>
      <b/>
      <sz val="11"/>
      <name val="Calibri"/>
      <family val="2"/>
      <scheme val="minor"/>
    </font>
    <font>
      <sz val="11"/>
      <name val="Calibri"/>
      <family val="2"/>
      <scheme val="minor"/>
    </font>
    <font>
      <sz val="15"/>
      <color theme="1"/>
      <name val="Calibri"/>
      <family val="2"/>
      <scheme val="minor"/>
    </font>
    <font>
      <b/>
      <sz val="20"/>
      <color theme="0"/>
      <name val="Calibri"/>
      <family val="2"/>
      <scheme val="minor"/>
    </font>
    <font>
      <sz val="10"/>
      <name val="Calibri"/>
      <family val="2"/>
    </font>
    <font>
      <sz val="11"/>
      <color theme="1"/>
      <name val="Calibri"/>
      <family val="2"/>
    </font>
    <font>
      <sz val="11"/>
      <name val="Calibri"/>
      <family val="2"/>
    </font>
    <font>
      <b/>
      <sz val="11"/>
      <color rgb="FFFFFFFF"/>
      <name val="Calibri"/>
      <family val="2"/>
    </font>
    <font>
      <b/>
      <sz val="11"/>
      <color theme="0"/>
      <name val="Calibri"/>
      <family val="2"/>
    </font>
    <font>
      <b/>
      <sz val="14"/>
      <color theme="0"/>
      <name val="Calibri"/>
      <family val="2"/>
    </font>
    <font>
      <b/>
      <sz val="11"/>
      <name val="Calibri"/>
      <family val="2"/>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bgColor indexed="64"/>
      </patternFill>
    </fill>
    <fill>
      <patternFill patternType="solid">
        <fgColor theme="4" tint="0.79998168889431442"/>
        <bgColor indexed="64"/>
      </patternFill>
    </fill>
    <fill>
      <patternFill patternType="solid">
        <fgColor theme="4"/>
        <bgColor rgb="FF003366"/>
      </patternFill>
    </fill>
    <fill>
      <patternFill patternType="solid">
        <fgColor rgb="FFF7F1E8"/>
        <bgColor indexed="64"/>
      </patternFill>
    </fill>
    <fill>
      <patternFill patternType="solid">
        <fgColor rgb="FF4B2E1E"/>
        <bgColor indexed="64"/>
      </patternFill>
    </fill>
  </fills>
  <borders count="30">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thick">
        <color indexed="64"/>
      </left>
      <right style="thick">
        <color indexed="64"/>
      </right>
      <top style="thick">
        <color indexed="64"/>
      </top>
      <bottom style="thick">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top/>
      <bottom style="thick">
        <color indexed="64"/>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style="thin">
        <color rgb="FFBFBFBF"/>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style="thin">
        <color rgb="FFBFBFBF"/>
      </left>
      <right/>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s>
  <cellStyleXfs count="2">
    <xf numFmtId="0" fontId="0" fillId="0" borderId="0"/>
    <xf numFmtId="0" fontId="9" fillId="0" borderId="0"/>
  </cellStyleXfs>
  <cellXfs count="135">
    <xf numFmtId="0" fontId="0" fillId="0" borderId="0" xfId="0"/>
    <xf numFmtId="49" fontId="0" fillId="0" borderId="0" xfId="0" applyNumberFormat="1"/>
    <xf numFmtId="164" fontId="0" fillId="0" borderId="0" xfId="0" applyNumberFormat="1"/>
    <xf numFmtId="165" fontId="0" fillId="0" borderId="0" xfId="0" applyNumberFormat="1"/>
    <xf numFmtId="49"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0" fillId="0" borderId="0" xfId="0" applyBorder="1"/>
    <xf numFmtId="0" fontId="2" fillId="0" borderId="0" xfId="0" applyFont="1" applyBorder="1"/>
    <xf numFmtId="164" fontId="0" fillId="0" borderId="6" xfId="0" applyNumberFormat="1" applyBorder="1"/>
    <xf numFmtId="0" fontId="0" fillId="0" borderId="0" xfId="0" applyBorder="1" applyAlignment="1"/>
    <xf numFmtId="2" fontId="0" fillId="0" borderId="0" xfId="0" applyNumberFormat="1"/>
    <xf numFmtId="1" fontId="0" fillId="0" borderId="0" xfId="0" applyNumberFormat="1"/>
    <xf numFmtId="0" fontId="0" fillId="0" borderId="9" xfId="0" applyBorder="1"/>
    <xf numFmtId="0" fontId="0" fillId="0" borderId="9" xfId="0" applyFill="1" applyBorder="1"/>
    <xf numFmtId="164" fontId="0" fillId="0" borderId="10" xfId="0" applyNumberFormat="1" applyBorder="1"/>
    <xf numFmtId="0" fontId="2" fillId="0" borderId="11" xfId="0" applyFont="1" applyBorder="1"/>
    <xf numFmtId="0" fontId="2" fillId="0" borderId="8" xfId="0" applyFont="1" applyBorder="1"/>
    <xf numFmtId="0" fontId="2" fillId="0" borderId="12" xfId="0" applyFont="1" applyBorder="1"/>
    <xf numFmtId="0" fontId="0" fillId="0" borderId="13" xfId="0" applyFill="1" applyBorder="1"/>
    <xf numFmtId="164" fontId="0" fillId="0" borderId="7" xfId="0" applyNumberFormat="1" applyBorder="1"/>
    <xf numFmtId="164" fontId="0" fillId="0" borderId="14" xfId="0" applyNumberFormat="1" applyBorder="1"/>
    <xf numFmtId="0" fontId="0" fillId="0" borderId="13" xfId="0" applyBorder="1"/>
    <xf numFmtId="0" fontId="2" fillId="0" borderId="16" xfId="0" applyFont="1" applyBorder="1"/>
    <xf numFmtId="0" fontId="0" fillId="0" borderId="16" xfId="0" applyBorder="1"/>
    <xf numFmtId="0" fontId="0" fillId="0" borderId="0" xfId="0" applyFont="1"/>
    <xf numFmtId="0" fontId="0" fillId="0" borderId="0" xfId="0" applyFont="1" applyAlignment="1">
      <alignment wrapText="1"/>
    </xf>
    <xf numFmtId="0" fontId="0" fillId="0" borderId="0" xfId="0" applyAlignment="1">
      <alignment vertical="center" wrapText="1"/>
    </xf>
    <xf numFmtId="0" fontId="0" fillId="0" borderId="0" xfId="0" applyFont="1" applyAlignment="1">
      <alignment vertical="center" wrapText="1"/>
    </xf>
    <xf numFmtId="0" fontId="0" fillId="0" borderId="0" xfId="0" quotePrefix="1" applyFont="1" applyAlignment="1">
      <alignment vertical="center" wrapText="1"/>
    </xf>
    <xf numFmtId="0" fontId="0" fillId="0" borderId="0" xfId="0" applyFont="1" applyAlignment="1">
      <alignment horizontal="left" vertical="center" wrapText="1"/>
    </xf>
    <xf numFmtId="0" fontId="5" fillId="0" borderId="0" xfId="0" quotePrefix="1" applyFont="1" applyAlignment="1">
      <alignment horizontal="left" vertical="center" wrapText="1"/>
    </xf>
    <xf numFmtId="0" fontId="0" fillId="0" borderId="0" xfId="0" quotePrefix="1" applyFont="1" applyAlignment="1">
      <alignment horizontal="left" vertical="center" wrapText="1"/>
    </xf>
    <xf numFmtId="0" fontId="0" fillId="0" borderId="0" xfId="0" applyFont="1" applyAlignment="1">
      <alignment vertical="center"/>
    </xf>
    <xf numFmtId="0" fontId="0" fillId="3" borderId="1" xfId="0" applyFont="1" applyFill="1" applyBorder="1" applyAlignment="1">
      <alignment horizontal="center" vertical="center"/>
    </xf>
    <xf numFmtId="0" fontId="0" fillId="3" borderId="2" xfId="0" quotePrefix="1" applyFont="1" applyFill="1" applyBorder="1" applyAlignment="1">
      <alignment horizontal="left" vertical="center" wrapText="1"/>
    </xf>
    <xf numFmtId="0" fontId="0" fillId="0" borderId="1" xfId="0" applyFont="1" applyBorder="1" applyAlignment="1">
      <alignment horizontal="center" vertical="center"/>
    </xf>
    <xf numFmtId="0" fontId="5" fillId="0" borderId="2" xfId="0" quotePrefix="1" applyFont="1" applyBorder="1" applyAlignment="1">
      <alignment horizontal="left" vertical="center" wrapText="1"/>
    </xf>
    <xf numFmtId="0" fontId="0" fillId="0" borderId="3" xfId="0" applyFont="1" applyBorder="1" applyAlignment="1">
      <alignment vertical="center" wrapText="1"/>
    </xf>
    <xf numFmtId="0" fontId="0" fillId="3" borderId="3" xfId="0" applyFont="1" applyFill="1" applyBorder="1" applyAlignment="1">
      <alignment vertical="center" wrapText="1"/>
    </xf>
    <xf numFmtId="0" fontId="0" fillId="0" borderId="2" xfId="0" quotePrefix="1" applyFont="1" applyBorder="1" applyAlignment="1">
      <alignment horizontal="left" vertical="center" wrapText="1"/>
    </xf>
    <xf numFmtId="0" fontId="0" fillId="3" borderId="2" xfId="0" applyFont="1" applyFill="1" applyBorder="1" applyAlignment="1">
      <alignment vertical="center" wrapText="1"/>
    </xf>
    <xf numFmtId="0" fontId="0" fillId="0" borderId="2" xfId="0" applyFont="1" applyBorder="1" applyAlignment="1">
      <alignment vertical="center" wrapText="1"/>
    </xf>
    <xf numFmtId="0" fontId="0" fillId="3" borderId="2" xfId="0" applyFont="1" applyFill="1" applyBorder="1" applyAlignment="1">
      <alignment horizontal="center" vertical="center"/>
    </xf>
    <xf numFmtId="0" fontId="0" fillId="0" borderId="2" xfId="0" applyFont="1" applyBorder="1" applyAlignment="1">
      <alignment horizontal="center" vertical="center"/>
    </xf>
    <xf numFmtId="0" fontId="1" fillId="2" borderId="4" xfId="0" applyFont="1" applyFill="1" applyBorder="1" applyAlignment="1">
      <alignment horizontal="center" vertical="center"/>
    </xf>
    <xf numFmtId="0" fontId="1" fillId="2" borderId="4" xfId="0" applyFont="1" applyFill="1" applyBorder="1" applyAlignment="1">
      <alignment horizontal="center"/>
    </xf>
    <xf numFmtId="0" fontId="0" fillId="0" borderId="5" xfId="0" applyFont="1" applyBorder="1" applyAlignment="1">
      <alignment horizontal="center" vertical="center"/>
    </xf>
    <xf numFmtId="0" fontId="0" fillId="0" borderId="5" xfId="0" applyFont="1" applyBorder="1" applyAlignment="1">
      <alignment vertical="center" wrapText="1"/>
    </xf>
    <xf numFmtId="0" fontId="0" fillId="0" borderId="5" xfId="0" quotePrefix="1" applyFont="1" applyBorder="1" applyAlignment="1">
      <alignment horizontal="left" vertical="center" wrapText="1"/>
    </xf>
    <xf numFmtId="0" fontId="1" fillId="2" borderId="17" xfId="0" applyFont="1" applyFill="1" applyBorder="1" applyAlignment="1">
      <alignment horizontal="center" vertical="center"/>
    </xf>
    <xf numFmtId="0" fontId="1" fillId="2" borderId="18" xfId="0" applyFont="1" applyFill="1" applyBorder="1" applyAlignment="1">
      <alignment horizontal="center"/>
    </xf>
    <xf numFmtId="0" fontId="0" fillId="0" borderId="0" xfId="0" applyFont="1" applyAlignment="1">
      <alignment horizontal="center" vertical="center"/>
    </xf>
    <xf numFmtId="0" fontId="5" fillId="0" borderId="0" xfId="0" applyFont="1" applyAlignment="1">
      <alignment vertical="center" wrapText="1"/>
    </xf>
    <xf numFmtId="0" fontId="0" fillId="0" borderId="0" xfId="0" applyFont="1" applyAlignment="1">
      <alignment horizontal="center"/>
    </xf>
    <xf numFmtId="0" fontId="5" fillId="3" borderId="2" xfId="0" applyFont="1" applyFill="1" applyBorder="1" applyAlignment="1">
      <alignment vertical="center" wrapText="1"/>
    </xf>
    <xf numFmtId="0" fontId="5" fillId="3" borderId="3" xfId="0" applyFont="1" applyFill="1" applyBorder="1" applyAlignment="1">
      <alignment vertical="center" wrapText="1"/>
    </xf>
    <xf numFmtId="0" fontId="0" fillId="0" borderId="0" xfId="0" applyFont="1" applyAlignment="1">
      <alignment horizontal="center" vertical="center" wrapText="1"/>
    </xf>
    <xf numFmtId="0" fontId="2" fillId="0" borderId="0" xfId="0" applyFont="1" applyAlignment="1">
      <alignment horizontal="center" vertical="center" wrapText="1"/>
    </xf>
    <xf numFmtId="0" fontId="5" fillId="0" borderId="0" xfId="0" applyFont="1" applyAlignment="1">
      <alignment horizontal="left" vertical="center" wrapText="1"/>
    </xf>
    <xf numFmtId="0" fontId="0" fillId="5" borderId="0" xfId="0" applyFill="1" applyBorder="1"/>
    <xf numFmtId="164" fontId="0" fillId="5" borderId="7" xfId="0" applyNumberFormat="1" applyFill="1" applyBorder="1"/>
    <xf numFmtId="164" fontId="0" fillId="5" borderId="14" xfId="0" applyNumberFormat="1" applyFill="1" applyBorder="1"/>
    <xf numFmtId="164" fontId="0" fillId="0" borderId="0" xfId="0" applyNumberFormat="1" applyAlignment="1">
      <alignment vertical="center" wrapText="1"/>
    </xf>
    <xf numFmtId="0" fontId="0" fillId="0" borderId="10" xfId="0" applyFont="1" applyBorder="1"/>
    <xf numFmtId="0" fontId="0" fillId="0" borderId="6" xfId="0" applyFont="1" applyBorder="1"/>
    <xf numFmtId="0" fontId="0" fillId="0" borderId="8" xfId="0" applyFont="1" applyBorder="1"/>
    <xf numFmtId="0" fontId="0" fillId="0" borderId="12" xfId="0" applyFont="1" applyBorder="1"/>
    <xf numFmtId="165" fontId="0" fillId="0" borderId="0" xfId="0" applyNumberFormat="1" applyAlignment="1">
      <alignment horizontal="left"/>
    </xf>
    <xf numFmtId="0" fontId="9" fillId="0" borderId="0" xfId="1"/>
    <xf numFmtId="0" fontId="8" fillId="0" borderId="0" xfId="1" applyFont="1"/>
    <xf numFmtId="166" fontId="8" fillId="0" borderId="0" xfId="1" applyNumberFormat="1" applyFont="1"/>
    <xf numFmtId="0" fontId="10" fillId="0" borderId="0" xfId="1" applyFont="1" applyAlignment="1">
      <alignment horizontal="center"/>
    </xf>
    <xf numFmtId="0" fontId="0" fillId="7" borderId="0" xfId="0" applyFill="1"/>
    <xf numFmtId="167" fontId="0" fillId="0" borderId="0" xfId="0" applyNumberFormat="1" applyAlignment="1">
      <alignment horizontal="left"/>
    </xf>
    <xf numFmtId="168" fontId="0" fillId="0" borderId="16" xfId="0" applyNumberFormat="1" applyFont="1" applyBorder="1"/>
    <xf numFmtId="169" fontId="0" fillId="0" borderId="16" xfId="0" applyNumberFormat="1" applyFont="1" applyBorder="1"/>
    <xf numFmtId="170" fontId="0" fillId="0" borderId="16" xfId="0" applyNumberFormat="1" applyBorder="1"/>
    <xf numFmtId="171" fontId="0" fillId="0" borderId="16" xfId="0" applyNumberFormat="1" applyBorder="1"/>
    <xf numFmtId="0" fontId="0" fillId="0" borderId="16" xfId="0" applyNumberFormat="1" applyBorder="1"/>
    <xf numFmtId="0" fontId="1" fillId="2" borderId="1" xfId="0" applyFont="1" applyFill="1" applyBorder="1" applyAlignment="1">
      <alignment horizontal="center" vertic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3" borderId="5" xfId="0" applyFont="1" applyFill="1" applyBorder="1" applyAlignment="1">
      <alignment horizontal="center" vertical="center"/>
    </xf>
    <xf numFmtId="0" fontId="0" fillId="3" borderId="5" xfId="0" applyFont="1" applyFill="1" applyBorder="1" applyAlignment="1">
      <alignment vertical="center" wrapText="1"/>
    </xf>
    <xf numFmtId="0" fontId="0" fillId="3" borderId="5" xfId="0" quotePrefix="1" applyFont="1" applyFill="1" applyBorder="1" applyAlignment="1">
      <alignment horizontal="left" vertical="center" wrapText="1"/>
    </xf>
    <xf numFmtId="0" fontId="11" fillId="4" borderId="0" xfId="1" applyFont="1" applyFill="1" applyAlignment="1">
      <alignment horizontal="center" vertical="top"/>
    </xf>
    <xf numFmtId="0" fontId="1" fillId="4" borderId="0" xfId="0" applyFont="1" applyFill="1" applyAlignment="1">
      <alignment horizontal="center" vertical="center"/>
    </xf>
    <xf numFmtId="0" fontId="4" fillId="4" borderId="0" xfId="0" applyFont="1" applyFill="1" applyAlignment="1">
      <alignment horizontal="center"/>
    </xf>
    <xf numFmtId="0" fontId="2" fillId="0" borderId="0" xfId="0" applyFont="1" applyAlignment="1">
      <alignment horizontal="center"/>
    </xf>
    <xf numFmtId="0" fontId="1" fillId="4" borderId="15" xfId="0" applyFont="1" applyFill="1" applyBorder="1" applyAlignment="1">
      <alignment horizontal="center"/>
    </xf>
    <xf numFmtId="0" fontId="1" fillId="4" borderId="0" xfId="0" applyFont="1" applyFill="1" applyAlignment="1">
      <alignment horizontal="center"/>
    </xf>
    <xf numFmtId="0" fontId="1" fillId="4" borderId="19" xfId="0" applyFont="1" applyFill="1" applyBorder="1" applyAlignment="1">
      <alignment horizontal="center"/>
    </xf>
    <xf numFmtId="0" fontId="2" fillId="4" borderId="19" xfId="0" applyFont="1" applyFill="1" applyBorder="1" applyAlignment="1">
      <alignment horizontal="center"/>
    </xf>
    <xf numFmtId="0" fontId="3" fillId="4" borderId="0" xfId="0" applyFont="1" applyFill="1" applyAlignment="1">
      <alignment horizontal="center"/>
    </xf>
    <xf numFmtId="0" fontId="12" fillId="0" borderId="0" xfId="0" applyFont="1" applyAlignment="1">
      <alignment horizontal="center"/>
    </xf>
    <xf numFmtId="0" fontId="12" fillId="0" borderId="0" xfId="0" applyFont="1" applyAlignment="1">
      <alignment horizontal="center" vertical="center"/>
    </xf>
    <xf numFmtId="0" fontId="2" fillId="0" borderId="0" xfId="0" applyFont="1" applyAlignment="1">
      <alignment horizontal="center" vertical="center"/>
    </xf>
    <xf numFmtId="0" fontId="12" fillId="0" borderId="4" xfId="0" applyFont="1" applyBorder="1" applyAlignment="1">
      <alignment horizontal="center"/>
    </xf>
    <xf numFmtId="0" fontId="5" fillId="0" borderId="0" xfId="0" applyFont="1" applyAlignment="1">
      <alignment horizontal="left" vertical="center" wrapText="1"/>
    </xf>
    <xf numFmtId="0" fontId="14" fillId="0" borderId="22" xfId="1" applyFont="1" applyBorder="1" applyAlignment="1">
      <alignment horizontal="left" vertical="top"/>
    </xf>
    <xf numFmtId="0" fontId="16" fillId="7" borderId="0" xfId="0" applyFont="1" applyFill="1"/>
    <xf numFmtId="0" fontId="17" fillId="8" borderId="0" xfId="0" applyFont="1" applyFill="1" applyAlignment="1">
      <alignment horizontal="center" vertical="center"/>
    </xf>
    <xf numFmtId="0" fontId="17" fillId="4" borderId="0" xfId="0" applyFont="1" applyFill="1" applyAlignment="1">
      <alignment horizontal="center" vertical="center"/>
    </xf>
    <xf numFmtId="0" fontId="18" fillId="0" borderId="20" xfId="1" applyFont="1" applyBorder="1" applyAlignment="1">
      <alignment vertical="top"/>
    </xf>
    <xf numFmtId="0" fontId="19" fillId="0" borderId="0" xfId="1" applyFont="1"/>
    <xf numFmtId="0" fontId="18" fillId="0" borderId="20" xfId="1" applyFont="1" applyBorder="1" applyAlignment="1">
      <alignment vertical="top" wrapText="1"/>
    </xf>
    <xf numFmtId="0" fontId="20" fillId="0" borderId="23" xfId="1" applyFont="1" applyBorder="1" applyAlignment="1">
      <alignment horizontal="left" vertical="top" wrapText="1"/>
    </xf>
    <xf numFmtId="0" fontId="20" fillId="0" borderId="24" xfId="1" applyFont="1" applyBorder="1" applyAlignment="1">
      <alignment horizontal="left" vertical="top" wrapText="1"/>
    </xf>
    <xf numFmtId="0" fontId="20" fillId="0" borderId="25" xfId="1" applyFont="1" applyBorder="1" applyAlignment="1">
      <alignment horizontal="left" vertical="top" wrapText="1"/>
    </xf>
    <xf numFmtId="0" fontId="20" fillId="0" borderId="20" xfId="1" applyFont="1" applyBorder="1" applyAlignment="1">
      <alignment horizontal="left" vertical="top" wrapText="1"/>
    </xf>
    <xf numFmtId="0" fontId="20" fillId="0" borderId="21" xfId="1" applyFont="1" applyBorder="1" applyAlignment="1">
      <alignment horizontal="left" vertical="top" wrapText="1"/>
    </xf>
    <xf numFmtId="0" fontId="20" fillId="0" borderId="26" xfId="1" applyFont="1" applyBorder="1" applyAlignment="1">
      <alignment horizontal="left" vertical="top" wrapText="1"/>
    </xf>
    <xf numFmtId="0" fontId="21" fillId="6" borderId="27" xfId="1" applyFont="1" applyFill="1" applyBorder="1" applyAlignment="1">
      <alignment horizontal="center" vertical="top" wrapText="1"/>
    </xf>
    <xf numFmtId="0" fontId="21" fillId="6" borderId="28" xfId="1" applyFont="1" applyFill="1" applyBorder="1" applyAlignment="1">
      <alignment horizontal="center" vertical="top" wrapText="1"/>
    </xf>
    <xf numFmtId="0" fontId="21" fillId="6" borderId="29" xfId="1" applyFont="1" applyFill="1" applyBorder="1" applyAlignment="1">
      <alignment horizontal="center" vertical="top" wrapText="1"/>
    </xf>
    <xf numFmtId="0" fontId="20" fillId="0" borderId="24" xfId="1" applyFont="1" applyBorder="1" applyAlignment="1">
      <alignment horizontal="center" vertical="top" wrapText="1"/>
    </xf>
    <xf numFmtId="0" fontId="20" fillId="0" borderId="25" xfId="1" applyFont="1" applyBorder="1" applyAlignment="1">
      <alignment horizontal="center" vertical="top" wrapText="1"/>
    </xf>
    <xf numFmtId="0" fontId="20" fillId="0" borderId="21" xfId="1" applyFont="1" applyBorder="1" applyAlignment="1">
      <alignment horizontal="center" vertical="top" wrapText="1"/>
    </xf>
    <xf numFmtId="0" fontId="20" fillId="0" borderId="26" xfId="1" applyFont="1" applyBorder="1" applyAlignment="1">
      <alignment horizontal="center" vertical="top" wrapText="1"/>
    </xf>
    <xf numFmtId="0" fontId="22" fillId="6" borderId="29" xfId="1" applyFont="1" applyFill="1" applyBorder="1" applyAlignment="1">
      <alignment horizontal="center" vertical="top" wrapText="1"/>
    </xf>
    <xf numFmtId="0" fontId="15" fillId="0" borderId="23" xfId="1" applyFont="1" applyBorder="1" applyAlignment="1">
      <alignment horizontal="right" vertical="top" wrapText="1"/>
    </xf>
    <xf numFmtId="0" fontId="15" fillId="0" borderId="25" xfId="1" applyFont="1" applyBorder="1" applyAlignment="1">
      <alignment horizontal="left" vertical="top" wrapText="1"/>
    </xf>
    <xf numFmtId="0" fontId="15" fillId="0" borderId="20" xfId="1" applyFont="1" applyBorder="1" applyAlignment="1">
      <alignment horizontal="right" vertical="top" wrapText="1"/>
    </xf>
    <xf numFmtId="0" fontId="15" fillId="0" borderId="26" xfId="1" applyFont="1" applyBorder="1" applyAlignment="1">
      <alignment horizontal="left" vertical="top" wrapText="1"/>
    </xf>
    <xf numFmtId="0" fontId="1" fillId="6" borderId="27" xfId="1" applyFont="1" applyFill="1" applyBorder="1" applyAlignment="1">
      <alignment horizontal="left" vertical="top" wrapText="1"/>
    </xf>
    <xf numFmtId="0" fontId="1" fillId="6" borderId="29" xfId="1" applyFont="1" applyFill="1" applyBorder="1" applyAlignment="1">
      <alignment horizontal="left" vertical="top" wrapText="1"/>
    </xf>
    <xf numFmtId="0" fontId="23" fillId="4" borderId="0" xfId="1" applyFont="1" applyFill="1" applyAlignment="1">
      <alignment horizontal="center" vertical="top"/>
    </xf>
    <xf numFmtId="0" fontId="24" fillId="0" borderId="22" xfId="1" applyFont="1" applyBorder="1" applyAlignment="1">
      <alignment horizontal="left" vertical="top"/>
    </xf>
    <xf numFmtId="0" fontId="20" fillId="0" borderId="20" xfId="1" applyFont="1" applyBorder="1" applyAlignment="1">
      <alignment vertical="top"/>
    </xf>
  </cellXfs>
  <cellStyles count="2">
    <cellStyle name="Normal" xfId="0" builtinId="0"/>
    <cellStyle name="Normal 2" xfId="1" xr:uid="{659D0F69-23FA-4FBD-BAF1-391F0B172C48}"/>
  </cellStyles>
  <dxfs count="121">
    <dxf>
      <font>
        <strike val="0"/>
        <outline val="0"/>
        <shadow val="0"/>
        <u val="none"/>
        <vertAlign val="baseline"/>
        <sz val="1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rgb="FF003366"/>
          <bgColor theme="4"/>
        </patternFill>
      </fill>
      <alignment horizontal="left" vertical="top"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1"/>
        <color auto="1"/>
        <name val="Calibri"/>
        <family val="2"/>
        <scheme val="minor"/>
      </font>
      <alignment horizontal="right" vertical="top" textRotation="0" wrapText="1" indent="0" justifyLastLine="0" shrinkToFit="0" readingOrder="0"/>
      <border diagonalUp="0" diagonalDown="0" outline="0">
        <left style="thin">
          <color rgb="FFBFBFBF"/>
        </left>
        <right/>
        <top style="thin">
          <color rgb="FFBFBFBF"/>
        </top>
        <bottom style="thin">
          <color rgb="FFBFBFBF"/>
        </bottom>
      </border>
    </dxf>
    <dxf>
      <font>
        <b val="0"/>
        <i val="0"/>
        <strike val="0"/>
        <condense val="0"/>
        <extend val="0"/>
        <outline val="0"/>
        <shadow val="0"/>
        <u val="none"/>
        <vertAlign val="baseline"/>
        <sz val="11"/>
        <color auto="1"/>
        <name val="Calibri"/>
        <family val="2"/>
        <scheme val="minor"/>
      </font>
      <alignment horizontal="left" vertical="top" textRotation="0" wrapText="1" indent="0" justifyLastLine="0" shrinkToFit="0" readingOrder="0"/>
      <border diagonalUp="0" diagonalDown="0" outline="0">
        <left/>
        <right style="thin">
          <color rgb="FFBFBFBF"/>
        </right>
        <top style="thin">
          <color rgb="FFBFBFBF"/>
        </top>
        <bottom style="thin">
          <color rgb="FFBFBFBF"/>
        </bottom>
      </border>
    </dxf>
    <dxf>
      <font>
        <b val="0"/>
        <i val="0"/>
        <strike val="0"/>
        <condense val="0"/>
        <extend val="0"/>
        <outline val="0"/>
        <shadow val="0"/>
        <u val="none"/>
        <vertAlign val="baseline"/>
        <sz val="11"/>
        <color auto="1"/>
        <name val="Calibri"/>
        <family val="2"/>
        <scheme val="none"/>
      </font>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1"/>
        <color auto="1"/>
        <name val="Calibri"/>
        <family val="2"/>
        <scheme val="none"/>
      </font>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family val="2"/>
        <scheme val="none"/>
      </font>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i val="0"/>
        <strike val="0"/>
        <condense val="0"/>
        <extend val="0"/>
        <outline val="0"/>
        <shadow val="0"/>
        <u val="none"/>
        <vertAlign val="baseline"/>
        <sz val="11"/>
        <color rgb="FFFFFFFF"/>
        <name val="Calibri"/>
        <family val="2"/>
        <scheme val="none"/>
      </font>
      <fill>
        <patternFill patternType="solid">
          <fgColor rgb="FF003366"/>
          <bgColor theme="4"/>
        </patternFill>
      </fill>
      <alignment horizontal="center" vertical="top"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1"/>
        <color auto="1"/>
        <name val="Calibri"/>
        <family val="2"/>
        <scheme val="none"/>
      </font>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1"/>
        <color auto="1"/>
        <name val="Calibri"/>
        <family val="2"/>
        <scheme val="none"/>
      </font>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family val="2"/>
        <scheme val="none"/>
      </font>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family val="2"/>
        <scheme val="none"/>
      </font>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family val="2"/>
        <scheme val="none"/>
      </font>
      <alignment horizontal="center"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family val="2"/>
        <scheme val="none"/>
      </font>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family val="2"/>
        <scheme val="none"/>
      </font>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family val="2"/>
        <scheme val="none"/>
      </font>
      <alignment horizontal="center"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1"/>
        <color auto="1"/>
        <name val="Calibri"/>
        <family val="2"/>
        <scheme val="none"/>
      </font>
      <alignment horizontal="left" vertical="top"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rgb="FF003366"/>
          <bgColor theme="4"/>
        </patternFill>
      </fill>
      <alignment horizontal="center" vertical="top" textRotation="0" wrapText="1" indent="0" justifyLastLine="0" shrinkToFit="0" readingOrder="0"/>
      <border diagonalUp="0" diagonalDown="0" outline="0">
        <left style="thin">
          <color rgb="FFBFBFBF"/>
        </left>
        <right style="thin">
          <color rgb="FFBFBFBF"/>
        </right>
        <top/>
        <bottom/>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general" vertical="center" textRotation="0" wrapText="1" indent="0" justifyLastLine="0" shrinkToFit="0" readingOrder="0"/>
    </dxf>
    <dxf>
      <font>
        <strike val="0"/>
        <outline val="0"/>
        <shadow val="0"/>
        <u val="none"/>
        <vertAlign val="baseline"/>
        <sz val="11"/>
        <name val="Calibri"/>
        <family val="2"/>
        <scheme val="minor"/>
      </font>
      <alignment horizontal="left" vertical="center" textRotation="0" wrapText="1" indent="0" justifyLastLine="0" shrinkToFit="0" readingOrder="0"/>
    </dxf>
    <dxf>
      <font>
        <strike val="0"/>
        <outline val="0"/>
        <shadow val="0"/>
        <u val="none"/>
        <vertAlign val="baseline"/>
        <sz val="11"/>
        <name val="Calibri"/>
        <family val="2"/>
        <scheme val="minor"/>
      </font>
      <alignment horizontal="general" textRotation="0" wrapText="1"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general" vertical="center" textRotation="0" wrapText="1" indent="0" justifyLastLine="0" shrinkToFit="0" readingOrder="0"/>
    </dxf>
    <dxf>
      <font>
        <strike val="0"/>
        <outline val="0"/>
        <shadow val="0"/>
        <u val="none"/>
        <vertAlign val="baseline"/>
        <sz val="11"/>
        <name val="Calibri"/>
        <family val="2"/>
        <scheme val="minor"/>
      </font>
      <alignment horizontal="left" vertical="center" textRotation="0" wrapText="1" indent="0" justifyLastLine="0" shrinkToFit="0" readingOrder="0"/>
    </dxf>
    <dxf>
      <font>
        <strike val="0"/>
        <outline val="0"/>
        <shadow val="0"/>
        <u val="none"/>
        <vertAlign val="baseline"/>
        <sz val="11"/>
        <name val="Calibri"/>
        <family val="2"/>
        <scheme val="minor"/>
      </font>
      <alignment horizontal="general" textRotation="0" wrapText="1"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b val="0"/>
        <strike val="0"/>
        <outline val="0"/>
        <shadow val="0"/>
        <u val="none"/>
        <vertAlign val="baseline"/>
        <sz val="11"/>
        <name val="Calibri"/>
        <family val="2"/>
        <scheme val="minor"/>
      </font>
      <alignment horizontal="general" vertical="center" textRotation="0" wrapText="1" indent="0" justifyLastLine="0" shrinkToFit="0" readingOrder="0"/>
    </dxf>
    <dxf>
      <font>
        <b/>
        <strike val="0"/>
        <outline val="0"/>
        <shadow val="0"/>
        <u val="none"/>
        <vertAlign val="baseline"/>
        <sz val="11"/>
        <color theme="1"/>
        <name val="Calibri"/>
        <family val="2"/>
        <scheme val="minor"/>
      </font>
      <alignment horizontal="center" vertical="center" textRotation="0" wrapText="1" indent="0" justifyLastLine="0" shrinkToFit="0" readingOrder="0"/>
    </dxf>
    <dxf>
      <font>
        <b val="0"/>
        <strike val="0"/>
        <outline val="0"/>
        <shadow val="0"/>
        <u val="none"/>
        <vertAlign val="baseline"/>
        <sz val="11"/>
        <name val="Calibri"/>
        <family val="2"/>
        <scheme val="minor"/>
      </font>
      <alignment horizontal="general" vertical="center" textRotation="0" wrapText="1" indent="0" justifyLastLine="0" shrinkToFit="0" readingOrder="0"/>
    </dxf>
    <dxf>
      <font>
        <b val="0"/>
        <strike val="0"/>
        <outline val="0"/>
        <shadow val="0"/>
        <u val="none"/>
        <vertAlign val="baseline"/>
        <sz val="11"/>
        <name val="Calibri"/>
        <family val="2"/>
        <scheme val="minor"/>
      </font>
      <alignment horizontal="left" vertical="center" textRotation="0" wrapText="1" indent="0" justifyLastLine="0" shrinkToFit="0" readingOrder="0"/>
    </dxf>
    <dxf>
      <font>
        <b val="0"/>
        <strike val="0"/>
        <outline val="0"/>
        <shadow val="0"/>
        <u val="none"/>
        <vertAlign val="baseline"/>
        <sz val="11"/>
        <name val="Calibri"/>
        <family val="2"/>
        <scheme val="minor"/>
      </font>
      <alignment horizontal="center" vertical="center" textRotation="0" wrapText="1" indent="0" justifyLastLine="0" shrinkToFit="0" readingOrder="0"/>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strike val="0"/>
        <outline val="0"/>
        <shadow val="0"/>
        <u val="none"/>
        <vertAlign val="baseline"/>
        <sz val="11"/>
        <name val="Calibri"/>
        <family val="2"/>
        <scheme val="minor"/>
      </fon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numFmt numFmtId="2" formatCode="0.00"/>
    </dxf>
    <dxf>
      <numFmt numFmtId="164" formatCode="_-[$Rp-421]* #,##0_-;\-[$Rp-421]* #,##0_-;_-[$Rp-421]* &quot;-&quot;_-;_-@_-"/>
    </dxf>
    <dxf>
      <numFmt numFmtId="164" formatCode="_-[$Rp-421]* #,##0_-;\-[$Rp-421]* #,##0_-;_-[$Rp-421]* &quot;-&quot;_-;_-@_-"/>
    </dxf>
    <dxf>
      <numFmt numFmtId="164" formatCode="_-[$Rp-421]* #,##0_-;\-[$Rp-421]* #,##0_-;_-[$Rp-421]* &quot;-&quot;_-;_-@_-"/>
    </dxf>
    <dxf>
      <numFmt numFmtId="1" formatCode="0"/>
    </dxf>
    <dxf>
      <numFmt numFmtId="2" formatCode="0.00"/>
    </dxf>
    <dxf>
      <numFmt numFmtId="167" formatCode="dd\ mmm"/>
    </dxf>
    <dxf>
      <numFmt numFmtId="164" formatCode="_-[$Rp-421]* #,##0_-;\-[$Rp-421]* #,##0_-;_-[$Rp-421]* &quot;-&quot;_-;_-@_-"/>
    </dxf>
    <dxf>
      <numFmt numFmtId="164" formatCode="_-[$Rp-421]* #,##0_-;\-[$Rp-421]* #,##0_-;_-[$Rp-421]* &quot;-&quot;_-;_-@_-"/>
    </dxf>
    <dxf>
      <numFmt numFmtId="164" formatCode="_-[$Rp-421]* #,##0_-;\-[$Rp-421]* #,##0_-;_-[$Rp-421]* &quot;-&quot;_-;_-@_-"/>
    </dxf>
    <dxf>
      <numFmt numFmtId="164" formatCode="_-[$Rp-421]* #,##0_-;\-[$Rp-421]* #,##0_-;_-[$Rp-421]* &quot;-&quot;_-;_-@_-"/>
    </dxf>
    <dxf>
      <border outline="0">
        <top style="thin">
          <color indexed="64"/>
        </top>
      </border>
    </dxf>
    <dxf>
      <border outline="0">
        <bottom style="thin">
          <color indexed="64"/>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numFmt numFmtId="164" formatCode="_-[$Rp-421]* #,##0_-;\-[$Rp-421]* #,##0_-;_-[$Rp-421]* &quot;-&quot;_-;_-@_-"/>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numFmt numFmtId="164" formatCode="_-[$Rp-421]* #,##0_-;\-[$Rp-421]* #,##0_-;_-[$Rp-421]* &quot;-&quot;_-;_-@_-"/>
      <fill>
        <patternFill patternType="solid">
          <fgColor indexed="64"/>
          <bgColor theme="4" tint="0.79998168889431442"/>
        </patternFill>
      </fill>
      <border diagonalUp="0" diagonalDown="0" outline="0">
        <left style="thin">
          <color indexed="64"/>
        </left>
        <right/>
        <top style="thin">
          <color indexed="64"/>
        </top>
        <bottom/>
      </border>
    </dxf>
    <dxf>
      <numFmt numFmtId="164" formatCode="_-[$Rp-421]* #,##0_-;\-[$Rp-421]* #,##0_-;_-[$Rp-421]* &quot;-&quot;_-;_-@_-"/>
      <border diagonalUp="0" diagonalDown="0">
        <left style="thin">
          <color indexed="64"/>
        </left>
        <right/>
        <top style="thin">
          <color indexed="64"/>
        </top>
        <bottom style="thin">
          <color indexed="64"/>
        </bottom>
        <vertical/>
        <horizontal/>
      </border>
    </dxf>
    <dxf>
      <numFmt numFmtId="164" formatCode="_-[$Rp-421]* #,##0_-;\-[$Rp-421]* #,##0_-;_-[$Rp-421]* &quot;-&quot;_-;_-@_-"/>
      <fill>
        <patternFill patternType="solid">
          <fgColor indexed="64"/>
          <bgColor theme="4" tint="0.79998168889431442"/>
        </patternFill>
      </fill>
      <border diagonalUp="0" diagonalDown="0" outline="0">
        <left style="thin">
          <color indexed="64"/>
        </left>
        <right style="thin">
          <color indexed="64"/>
        </right>
        <top style="thin">
          <color indexed="64"/>
        </top>
        <bottom/>
      </border>
    </dxf>
    <dxf>
      <numFmt numFmtId="164" formatCode="_-[$Rp-421]* #,##0_-;\-[$Rp-421]* #,##0_-;_-[$Rp-421]* &quot;-&quot;_-;_-@_-"/>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tint="0.79998168889431442"/>
        </patternFill>
      </fill>
      <border diagonalUp="0" diagonalDown="0" outline="0">
        <left/>
        <right/>
        <top/>
        <bottom/>
      </border>
    </dxf>
    <dxf>
      <border outline="0">
        <top style="thin">
          <color indexed="64"/>
        </top>
      </border>
    </dxf>
    <dxf>
      <fill>
        <patternFill patternType="solid">
          <fgColor indexed="64"/>
          <bgColor theme="4" tint="0.79998168889431442"/>
        </patternFill>
      </fill>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numFmt numFmtId="164" formatCode="_-[$Rp-421]* #,##0_-;\-[$Rp-421]* #,##0_-;_-[$Rp-421]* &quot;-&quot;_-;_-@_-"/>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_-[$Rp-421]* #,##0_-;\-[$Rp-421]* #,##0_-;_-[$Rp-421]* &quot;-&quot;_-;_-@_-"/>
    </dxf>
    <dxf>
      <numFmt numFmtId="165" formatCode="dd/mm/yyyy;@"/>
    </dxf>
    <dxf>
      <numFmt numFmtId="30" formatCode="@"/>
    </dxf>
    <dxf>
      <alignment horizontal="center" vertical="center" textRotation="0" wrapText="0" indent="0" justifyLastLine="0" shrinkToFit="0" readingOrder="0"/>
    </dxf>
    <dxf>
      <font>
        <color theme="0"/>
      </font>
      <fill>
        <patternFill>
          <bgColor rgb="FF4B2E1E"/>
        </patternFill>
      </fill>
    </dxf>
  </dxfs>
  <tableStyles count="1" defaultTableStyle="TableStyleMedium2" defaultPivotStyle="PivotStyleLight16">
    <tableStyle name="Kopi" pivot="0" table="0" count="2" xr9:uid="{CE243F44-6D59-4553-AF96-A5BC71C20E8D}">
      <tableStyleElement type="headerRow" dxfId="120"/>
    </tableStyle>
  </tableStyles>
  <colors>
    <mruColors>
      <color rgb="FF4B2E1E"/>
      <color rgb="FF8B5A2B"/>
      <color rgb="FFC69C6D"/>
      <color rgb="FFE5DCCB"/>
      <color rgb="FFF7F1E8"/>
    </mruColors>
  </colors>
  <extLst>
    <ext xmlns:x14="http://schemas.microsoft.com/office/spreadsheetml/2009/9/main" uri="{46F421CA-312F-682f-3DD2-61675219B42D}">
      <x14:dxfs count="1">
        <dxf>
          <fill>
            <patternFill>
              <bgColor rgb="FFC69C6D"/>
            </patternFill>
          </fill>
        </dxf>
      </x14:dxfs>
    </ext>
    <ext xmlns:x14="http://schemas.microsoft.com/office/spreadsheetml/2009/9/main" uri="{EB79DEF2-80B8-43e5-95BD-54CBDDF9020C}">
      <x14:slicerStyles defaultSlicerStyle="SlicerStyleLight1">
        <x14:slicerStyle name="Kopi">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[coffee-shop-sales-analysis.xlsx]04_Pivot_Table!PivotTable1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Jumlah</a:t>
            </a:r>
            <a:r>
              <a:rPr lang="en-US" baseline="0"/>
              <a:t> Terjual per Menu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pivotFmt>
      <c:pivotFmt>
        <c:idx val="8"/>
        <c:spPr>
          <a:solidFill>
            <a:srgbClr val="C69C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B5A2B"/>
          </a:solidFill>
          <a:ln>
            <a:noFill/>
          </a:ln>
          <a:effectLst/>
        </c:spPr>
      </c:pivotFmt>
    </c:pivotFmts>
    <c:plotArea>
      <c:layout/>
      <c:barChart>
        <c:barDir val="bar"/>
        <c:grouping val="clustered"/>
        <c:varyColors val="0"/>
        <c:ser>
          <c:idx val="0"/>
          <c:order val="0"/>
          <c:tx>
            <c:strRef>
              <c:f>'04_Pivot_Table'!$B$1</c:f>
              <c:strCache>
                <c:ptCount val="1"/>
                <c:pt idx="0">
                  <c:v>Total</c:v>
                </c:pt>
              </c:strCache>
            </c:strRef>
          </c:tx>
          <c:spPr>
            <a:solidFill>
              <a:srgbClr val="C69C6D"/>
            </a:solidFill>
            <a:ln>
              <a:noFill/>
            </a:ln>
            <a:effectLst/>
          </c:spPr>
          <c:invertIfNegative val="0"/>
          <c:dPt>
            <c:idx val="5"/>
            <c:invertIfNegative val="0"/>
            <c:bubble3D val="0"/>
            <c:extLst>
              <c:ext xmlns:c16="http://schemas.microsoft.com/office/drawing/2014/chart" uri="{C3380CC4-5D6E-409C-BE32-E72D297353CC}">
                <c16:uniqueId val="{00000001-2DF8-4A19-9A61-B0153009F4FF}"/>
              </c:ext>
            </c:extLst>
          </c:dPt>
          <c:dPt>
            <c:idx val="7"/>
            <c:invertIfNegative val="0"/>
            <c:bubble3D val="0"/>
            <c:spPr>
              <a:solidFill>
                <a:srgbClr val="8B5A2B"/>
              </a:solidFill>
              <a:ln>
                <a:noFill/>
              </a:ln>
              <a:effectLst/>
            </c:spPr>
            <c:extLst>
              <c:ext xmlns:c16="http://schemas.microsoft.com/office/drawing/2014/chart" uri="{C3380CC4-5D6E-409C-BE32-E72D297353CC}">
                <c16:uniqueId val="{00000002-7BF8-46E6-827C-CE2FAB9AED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'04_Pivot_Table'!$A$2:$A$10</c:f>
              <c:strCache>
                <c:ptCount val="8"/>
                <c:pt idx="0">
                  <c:v>Chocolate Cake</c:v>
                </c:pt>
                <c:pt idx="1">
                  <c:v>Chicken Sandwich</c:v>
                </c:pt>
                <c:pt idx="2">
                  <c:v>Matcha Latte</c:v>
                </c:pt>
                <c:pt idx="3">
                  <c:v>Cappuccino</c:v>
                </c:pt>
                <c:pt idx="4">
                  <c:v>Croissant</c:v>
                </c:pt>
                <c:pt idx="5">
                  <c:v>Latte</c:v>
                </c:pt>
                <c:pt idx="6">
                  <c:v>Americano</c:v>
                </c:pt>
                <c:pt idx="7">
                  <c:v>Es Kopi Susu</c:v>
                </c:pt>
              </c:strCache>
            </c:strRef>
          </c:cat>
          <c:val>
            <c:numRef>
              <c:f>'04_Pivot_Table'!$B$2:$B$10</c:f>
              <c:numCache>
                <c:formatCode>General</c:formatCode>
                <c:ptCount val="8"/>
                <c:pt idx="0">
                  <c:v>9</c:v>
                </c:pt>
                <c:pt idx="1">
                  <c:v>9</c:v>
                </c:pt>
                <c:pt idx="2">
                  <c:v>12</c:v>
                </c:pt>
                <c:pt idx="3">
                  <c:v>13</c:v>
                </c:pt>
                <c:pt idx="4">
                  <c:v>14</c:v>
                </c:pt>
                <c:pt idx="5">
                  <c:v>19</c:v>
                </c:pt>
                <c:pt idx="6">
                  <c:v>20</c:v>
                </c:pt>
                <c:pt idx="7">
                  <c:v>28</c:v>
                </c:pt>
              </c:numCache>
            </c:numRef>
          </c:val>
          <c:extLst>
            <c:ext xmlns:c16="http://schemas.microsoft.com/office/drawing/2014/chart" uri="{C3380CC4-5D6E-409C-BE32-E72D297353CC}">
              <c16:uniqueId val="{00000002-2DF8-4A19-9A61-B0153009F4FF}"/>
            </c:ext>
          </c:extLst>
        </c:ser>
        <c:dLbls>
          <c:dLblPos val="outEnd"/>
          <c:showLegendKey val="0"/>
          <c:showVal val="1"/>
          <c:showCatName val="0"/>
          <c:showSerName val="0"/>
          <c:showPercent val="0"/>
          <c:showBubbleSize val="0"/>
        </c:dLbls>
        <c:gapWidth val="182"/>
        <c:axId val="1751073696"/>
        <c:axId val="1751072448"/>
      </c:barChart>
      <c:catAx>
        <c:axId val="1751073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072448"/>
        <c:crosses val="autoZero"/>
        <c:auto val="1"/>
        <c:lblAlgn val="ctr"/>
        <c:lblOffset val="100"/>
        <c:noMultiLvlLbl val="0"/>
      </c:catAx>
      <c:valAx>
        <c:axId val="1751072448"/>
        <c:scaling>
          <c:orientation val="minMax"/>
        </c:scaling>
        <c:delete val="1"/>
        <c:axPos val="b"/>
        <c:numFmt formatCode="General" sourceLinked="1"/>
        <c:majorTickMark val="none"/>
        <c:minorTickMark val="none"/>
        <c:tickLblPos val="nextTo"/>
        <c:crossAx val="1751073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[coffee-shop-sales-analysis.xlsx]04_Pivot_Table!PivotTable3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Rata-Rata</a:t>
            </a:r>
            <a:r>
              <a:rPr lang="en-US" baseline="0"/>
              <a:t> Nilai Transaksi per Kategori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69C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69C6D"/>
          </a:solidFill>
          <a:ln>
            <a:noFill/>
          </a:ln>
          <a:effectLst/>
        </c:spPr>
      </c:pivotFmt>
    </c:pivotFmts>
    <c:plotArea>
      <c:layout/>
      <c:barChart>
        <c:barDir val="col"/>
        <c:grouping val="clustered"/>
        <c:varyColors val="0"/>
        <c:ser>
          <c:idx val="0"/>
          <c:order val="0"/>
          <c:tx>
            <c:strRef>
              <c:f>'04_Pivot_Table'!$H$1</c:f>
              <c:strCache>
                <c:ptCount val="1"/>
                <c:pt idx="0">
                  <c:v>Total</c:v>
                </c:pt>
              </c:strCache>
            </c:strRef>
          </c:tx>
          <c:spPr>
            <a:solidFill>
              <a:srgbClr val="C69C6D"/>
            </a:solidFill>
            <a:ln>
              <a:noFill/>
            </a:ln>
            <a:effectLst/>
          </c:spPr>
          <c:invertIfNegative val="0"/>
          <c:dPt>
            <c:idx val="0"/>
            <c:invertIfNegative val="0"/>
            <c:bubble3D val="0"/>
            <c:spPr>
              <a:solidFill>
                <a:srgbClr val="C69C6D"/>
              </a:solidFill>
              <a:ln>
                <a:noFill/>
              </a:ln>
              <a:effectLst/>
            </c:spPr>
            <c:extLst>
              <c:ext xmlns:c16="http://schemas.microsoft.com/office/drawing/2014/chart" uri="{C3380CC4-5D6E-409C-BE32-E72D297353CC}">
                <c16:uniqueId val="{00000002-3640-4113-892B-41DC8CCBB1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'04_Pivot_Table'!$G$2:$G$4</c:f>
              <c:strCache>
                <c:ptCount val="2"/>
                <c:pt idx="0">
                  <c:v>Makanan</c:v>
                </c:pt>
                <c:pt idx="1">
                  <c:v>Minuman</c:v>
                </c:pt>
              </c:strCache>
            </c:strRef>
          </c:cat>
          <c:val>
            <c:numRef>
              <c:f>'04_Pivot_Table'!$H$2:$H$4</c:f>
              <c:numCache>
                <c:formatCode>_-[$Rp-421]* #,##0_-;\-[$Rp-421]* #,##0_-;_-[$Rp-421]* "-"_-;_-@_-</c:formatCode>
                <c:ptCount val="2"/>
                <c:pt idx="0">
                  <c:v>47875</c:v>
                </c:pt>
                <c:pt idx="1">
                  <c:v>62117.647058823532</c:v>
                </c:pt>
              </c:numCache>
            </c:numRef>
          </c:val>
          <c:extLst>
            <c:ext xmlns:c16="http://schemas.microsoft.com/office/drawing/2014/chart" uri="{C3380CC4-5D6E-409C-BE32-E72D297353CC}">
              <c16:uniqueId val="{00000000-3640-4113-892B-41DC8CCBB1D5}"/>
            </c:ext>
          </c:extLst>
        </c:ser>
        <c:dLbls>
          <c:dLblPos val="outEnd"/>
          <c:showLegendKey val="0"/>
          <c:showVal val="1"/>
          <c:showCatName val="0"/>
          <c:showSerName val="0"/>
          <c:showPercent val="0"/>
          <c:showBubbleSize val="0"/>
        </c:dLbls>
        <c:gapWidth val="219"/>
        <c:overlap val="-27"/>
        <c:axId val="1922140576"/>
        <c:axId val="1922137248"/>
      </c:barChart>
      <c:catAx>
        <c:axId val="1922140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137248"/>
        <c:crosses val="autoZero"/>
        <c:auto val="1"/>
        <c:lblAlgn val="ctr"/>
        <c:lblOffset val="100"/>
        <c:noMultiLvlLbl val="0"/>
      </c:catAx>
      <c:valAx>
        <c:axId val="1922137248"/>
        <c:scaling>
          <c:orientation val="minMax"/>
        </c:scaling>
        <c:delete val="1"/>
        <c:axPos val="l"/>
        <c:numFmt formatCode="_-[$Rp-421]* #,##0_-;\-[$Rp-421]* #,##0_-;_-[$Rp-421]* &quot;-&quot;_-;_-@_-" sourceLinked="1"/>
        <c:majorTickMark val="out"/>
        <c:minorTickMark val="none"/>
        <c:tickLblPos val="nextTo"/>
        <c:crossAx val="1922140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[coffee-shop-sales-analysis.xlsx]04_Pivot_Table!PivotTable6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Jumlah Terjual per Kategori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69C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69C6D"/>
          </a:solidFill>
          <a:ln>
            <a:noFill/>
          </a:ln>
          <a:effectLst/>
        </c:spPr>
      </c:pivotFmt>
    </c:pivotFmts>
    <c:plotArea>
      <c:layout/>
      <c:barChart>
        <c:barDir val="col"/>
        <c:grouping val="clustered"/>
        <c:varyColors val="0"/>
        <c:ser>
          <c:idx val="0"/>
          <c:order val="0"/>
          <c:tx>
            <c:strRef>
              <c:f>'04_Pivot_Table'!$E$7</c:f>
              <c:strCache>
                <c:ptCount val="1"/>
                <c:pt idx="0">
                  <c:v>Total</c:v>
                </c:pt>
              </c:strCache>
            </c:strRef>
          </c:tx>
          <c:spPr>
            <a:solidFill>
              <a:srgbClr val="C69C6D"/>
            </a:solidFill>
            <a:ln>
              <a:noFill/>
            </a:ln>
            <a:effectLst/>
          </c:spPr>
          <c:invertIfNegative val="0"/>
          <c:dPt>
            <c:idx val="0"/>
            <c:invertIfNegative val="0"/>
            <c:bubble3D val="0"/>
            <c:spPr>
              <a:solidFill>
                <a:srgbClr val="C69C6D"/>
              </a:solidFill>
              <a:ln>
                <a:noFill/>
              </a:ln>
              <a:effectLst/>
            </c:spPr>
            <c:extLst>
              <c:ext xmlns:c16="http://schemas.microsoft.com/office/drawing/2014/chart" uri="{C3380CC4-5D6E-409C-BE32-E72D297353CC}">
                <c16:uniqueId val="{00000002-E7D9-4BA9-88F2-42ED8DDE92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'04_Pivot_Table'!$D$8:$D$10</c:f>
              <c:strCache>
                <c:ptCount val="2"/>
                <c:pt idx="0">
                  <c:v>Makanan</c:v>
                </c:pt>
                <c:pt idx="1">
                  <c:v>Minuman</c:v>
                </c:pt>
              </c:strCache>
            </c:strRef>
          </c:cat>
          <c:val>
            <c:numRef>
              <c:f>'04_Pivot_Table'!$E$8:$E$10</c:f>
              <c:numCache>
                <c:formatCode>0</c:formatCode>
                <c:ptCount val="2"/>
                <c:pt idx="0">
                  <c:v>32</c:v>
                </c:pt>
                <c:pt idx="1">
                  <c:v>92</c:v>
                </c:pt>
              </c:numCache>
            </c:numRef>
          </c:val>
          <c:extLst>
            <c:ext xmlns:c16="http://schemas.microsoft.com/office/drawing/2014/chart" uri="{C3380CC4-5D6E-409C-BE32-E72D297353CC}">
              <c16:uniqueId val="{00000000-E7D9-4BA9-88F2-42ED8DDE921D}"/>
            </c:ext>
          </c:extLst>
        </c:ser>
        <c:dLbls>
          <c:dLblPos val="outEnd"/>
          <c:showLegendKey val="0"/>
          <c:showVal val="1"/>
          <c:showCatName val="0"/>
          <c:showSerName val="0"/>
          <c:showPercent val="0"/>
          <c:showBubbleSize val="0"/>
        </c:dLbls>
        <c:gapWidth val="219"/>
        <c:overlap val="-27"/>
        <c:axId val="1255655232"/>
        <c:axId val="1256490528"/>
      </c:barChart>
      <c:catAx>
        <c:axId val="125565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490528"/>
        <c:crosses val="autoZero"/>
        <c:auto val="1"/>
        <c:lblAlgn val="ctr"/>
        <c:lblOffset val="100"/>
        <c:noMultiLvlLbl val="0"/>
      </c:catAx>
      <c:valAx>
        <c:axId val="1256490528"/>
        <c:scaling>
          <c:orientation val="minMax"/>
        </c:scaling>
        <c:delete val="1"/>
        <c:axPos val="l"/>
        <c:numFmt formatCode="0" sourceLinked="1"/>
        <c:majorTickMark val="none"/>
        <c:minorTickMark val="none"/>
        <c:tickLblPos val="nextTo"/>
        <c:crossAx val="1255655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[coffee-shop-sales-analysis.xlsx]04_Pivot_Table!PivotTable5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Penggunaan Metode Pembayaran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rgbClr val="C69C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B5A2B"/>
          </a:solidFill>
          <a:ln>
            <a:noFill/>
          </a:ln>
          <a:effectLst/>
        </c:spPr>
      </c:pivotFmt>
    </c:pivotFmts>
    <c:plotArea>
      <c:layout>
        <c:manualLayout>
          <c:layoutTarget val="inner"/>
          <c:xMode val="edge"/>
          <c:yMode val="edge"/>
          <c:x val="5.2692038495188109E-2"/>
          <c:y val="0.17426798282476372"/>
          <c:w val="0.88064129483814535"/>
          <c:h val="0.73332163724572264"/>
        </c:manualLayout>
      </c:layout>
      <c:barChart>
        <c:barDir val="col"/>
        <c:grouping val="clustered"/>
        <c:varyColors val="0"/>
        <c:ser>
          <c:idx val="0"/>
          <c:order val="0"/>
          <c:tx>
            <c:strRef>
              <c:f>'04_Pivot_Table'!$K$4</c:f>
              <c:strCache>
                <c:ptCount val="1"/>
                <c:pt idx="0">
                  <c:v>Total</c:v>
                </c:pt>
              </c:strCache>
            </c:strRef>
          </c:tx>
          <c:spPr>
            <a:solidFill>
              <a:srgbClr val="C69C6D"/>
            </a:solidFill>
            <a:ln>
              <a:noFill/>
            </a:ln>
            <a:effectLst/>
          </c:spPr>
          <c:invertIfNegative val="0"/>
          <c:dPt>
            <c:idx val="1"/>
            <c:invertIfNegative val="0"/>
            <c:bubble3D val="0"/>
            <c:spPr>
              <a:solidFill>
                <a:srgbClr val="8B5A2B"/>
              </a:solidFill>
              <a:ln>
                <a:noFill/>
              </a:ln>
              <a:effectLst/>
            </c:spPr>
            <c:extLst>
              <c:ext xmlns:c16="http://schemas.microsoft.com/office/drawing/2014/chart" uri="{C3380CC4-5D6E-409C-BE32-E72D297353CC}">
                <c16:uniqueId val="{00000001-4B4D-42F0-B77C-9081E29344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'04_Pivot_Table'!$J$5:$J$8</c:f>
              <c:strCache>
                <c:ptCount val="3"/>
                <c:pt idx="0">
                  <c:v>Debit</c:v>
                </c:pt>
                <c:pt idx="1">
                  <c:v>QRIS</c:v>
                </c:pt>
                <c:pt idx="2">
                  <c:v>Tunai</c:v>
                </c:pt>
              </c:strCache>
            </c:strRef>
          </c:cat>
          <c:val>
            <c:numRef>
              <c:f>'04_Pivot_Table'!$K$5:$K$8</c:f>
              <c:numCache>
                <c:formatCode>General</c:formatCode>
                <c:ptCount val="3"/>
                <c:pt idx="0">
                  <c:v>15</c:v>
                </c:pt>
                <c:pt idx="1">
                  <c:v>22</c:v>
                </c:pt>
                <c:pt idx="2">
                  <c:v>13</c:v>
                </c:pt>
              </c:numCache>
            </c:numRef>
          </c:val>
          <c:extLst>
            <c:ext xmlns:c16="http://schemas.microsoft.com/office/drawing/2014/chart" uri="{C3380CC4-5D6E-409C-BE32-E72D297353CC}">
              <c16:uniqueId val="{00000002-4B4D-42F0-B77C-9081E29344F5}"/>
            </c:ext>
          </c:extLst>
        </c:ser>
        <c:dLbls>
          <c:dLblPos val="outEnd"/>
          <c:showLegendKey val="0"/>
          <c:showVal val="1"/>
          <c:showCatName val="0"/>
          <c:showSerName val="0"/>
          <c:showPercent val="0"/>
          <c:showBubbleSize val="0"/>
        </c:dLbls>
        <c:gapWidth val="219"/>
        <c:overlap val="-27"/>
        <c:axId val="1932087424"/>
        <c:axId val="1932091168"/>
      </c:barChart>
      <c:catAx>
        <c:axId val="193208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091168"/>
        <c:crosses val="autoZero"/>
        <c:auto val="1"/>
        <c:lblAlgn val="ctr"/>
        <c:lblOffset val="100"/>
        <c:noMultiLvlLbl val="0"/>
      </c:catAx>
      <c:valAx>
        <c:axId val="1932091168"/>
        <c:scaling>
          <c:orientation val="minMax"/>
        </c:scaling>
        <c:delete val="1"/>
        <c:axPos val="l"/>
        <c:numFmt formatCode="General" sourceLinked="1"/>
        <c:majorTickMark val="none"/>
        <c:minorTickMark val="none"/>
        <c:tickLblPos val="nextTo"/>
        <c:crossAx val="1932087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[coffee-shop-sales-analysis.xlsx]04_Pivot_Table!PivotTable2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Nilai Transaksi per Kategori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69C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69C6D"/>
          </a:solidFill>
          <a:ln>
            <a:noFill/>
          </a:ln>
          <a:effectLst/>
        </c:spPr>
      </c:pivotFmt>
    </c:pivotFmts>
    <c:plotArea>
      <c:layout/>
      <c:barChart>
        <c:barDir val="col"/>
        <c:grouping val="clustered"/>
        <c:varyColors val="0"/>
        <c:ser>
          <c:idx val="0"/>
          <c:order val="0"/>
          <c:tx>
            <c:strRef>
              <c:f>'04_Pivot_Table'!$E$1</c:f>
              <c:strCache>
                <c:ptCount val="1"/>
                <c:pt idx="0">
                  <c:v>Total</c:v>
                </c:pt>
              </c:strCache>
            </c:strRef>
          </c:tx>
          <c:spPr>
            <a:solidFill>
              <a:srgbClr val="C69C6D"/>
            </a:solidFill>
            <a:ln>
              <a:noFill/>
            </a:ln>
            <a:effectLst/>
          </c:spPr>
          <c:invertIfNegative val="0"/>
          <c:dPt>
            <c:idx val="0"/>
            <c:invertIfNegative val="0"/>
            <c:bubble3D val="0"/>
            <c:spPr>
              <a:solidFill>
                <a:srgbClr val="C69C6D"/>
              </a:solidFill>
              <a:ln>
                <a:noFill/>
              </a:ln>
              <a:effectLst/>
            </c:spPr>
            <c:extLst>
              <c:ext xmlns:c16="http://schemas.microsoft.com/office/drawing/2014/chart" uri="{C3380CC4-5D6E-409C-BE32-E72D297353CC}">
                <c16:uniqueId val="{00000002-D3A5-4535-A8FD-DAC83CCED5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'04_Pivot_Table'!$D$2:$D$4</c:f>
              <c:strCache>
                <c:ptCount val="2"/>
                <c:pt idx="0">
                  <c:v>Makanan</c:v>
                </c:pt>
                <c:pt idx="1">
                  <c:v>Minuman</c:v>
                </c:pt>
              </c:strCache>
            </c:strRef>
          </c:cat>
          <c:val>
            <c:numRef>
              <c:f>'04_Pivot_Table'!$E$2:$E$4</c:f>
              <c:numCache>
                <c:formatCode>_-[$Rp-421]* #,##0_-;\-[$Rp-421]* #,##0_-;_-[$Rp-421]* "-"_-;_-@_-</c:formatCode>
                <c:ptCount val="2"/>
                <c:pt idx="0">
                  <c:v>766000</c:v>
                </c:pt>
                <c:pt idx="1">
                  <c:v>2112000</c:v>
                </c:pt>
              </c:numCache>
            </c:numRef>
          </c:val>
          <c:extLst>
            <c:ext xmlns:c16="http://schemas.microsoft.com/office/drawing/2014/chart" uri="{C3380CC4-5D6E-409C-BE32-E72D297353CC}">
              <c16:uniqueId val="{00000000-D3A5-4535-A8FD-DAC83CCED530}"/>
            </c:ext>
          </c:extLst>
        </c:ser>
        <c:dLbls>
          <c:dLblPos val="outEnd"/>
          <c:showLegendKey val="0"/>
          <c:showVal val="1"/>
          <c:showCatName val="0"/>
          <c:showSerName val="0"/>
          <c:showPercent val="0"/>
          <c:showBubbleSize val="0"/>
        </c:dLbls>
        <c:gapWidth val="219"/>
        <c:overlap val="-27"/>
        <c:axId val="1750099856"/>
        <c:axId val="1750098608"/>
      </c:barChart>
      <c:catAx>
        <c:axId val="1750099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098608"/>
        <c:crosses val="autoZero"/>
        <c:auto val="1"/>
        <c:lblAlgn val="ctr"/>
        <c:lblOffset val="100"/>
        <c:noMultiLvlLbl val="0"/>
      </c:catAx>
      <c:valAx>
        <c:axId val="1750098608"/>
        <c:scaling>
          <c:orientation val="minMax"/>
        </c:scaling>
        <c:delete val="1"/>
        <c:axPos val="l"/>
        <c:numFmt formatCode="_-[$Rp-421]* #,##0_-;\-[$Rp-421]* #,##0_-;_-[$Rp-421]* &quot;-&quot;_-;_-@_-" sourceLinked="1"/>
        <c:majorTickMark val="out"/>
        <c:minorTickMark val="none"/>
        <c:tickLblPos val="nextTo"/>
        <c:crossAx val="1750099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[coffee-shop-sales-analysis.xlsx]04_Pivot_Table!PivotTable4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Rata-Rata</a:t>
            </a:r>
            <a:r>
              <a:rPr lang="en-US" baseline="0"/>
              <a:t> Jumlah Terjual per Kategori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69C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69C6D"/>
          </a:solidFill>
          <a:ln>
            <a:noFill/>
          </a:ln>
          <a:effectLst/>
        </c:spPr>
      </c:pivotFmt>
    </c:pivotFmts>
    <c:plotArea>
      <c:layout/>
      <c:barChart>
        <c:barDir val="col"/>
        <c:grouping val="clustered"/>
        <c:varyColors val="0"/>
        <c:ser>
          <c:idx val="0"/>
          <c:order val="0"/>
          <c:tx>
            <c:strRef>
              <c:f>'04_Pivot_Table'!$H$7</c:f>
              <c:strCache>
                <c:ptCount val="1"/>
                <c:pt idx="0">
                  <c:v>Total</c:v>
                </c:pt>
              </c:strCache>
            </c:strRef>
          </c:tx>
          <c:spPr>
            <a:solidFill>
              <a:srgbClr val="C69C6D"/>
            </a:solidFill>
            <a:ln>
              <a:noFill/>
            </a:ln>
            <a:effectLst/>
          </c:spPr>
          <c:invertIfNegative val="0"/>
          <c:dPt>
            <c:idx val="0"/>
            <c:invertIfNegative val="0"/>
            <c:bubble3D val="0"/>
            <c:spPr>
              <a:solidFill>
                <a:srgbClr val="C69C6D"/>
              </a:solidFill>
              <a:ln>
                <a:noFill/>
              </a:ln>
              <a:effectLst/>
            </c:spPr>
            <c:extLst>
              <c:ext xmlns:c16="http://schemas.microsoft.com/office/drawing/2014/chart" uri="{C3380CC4-5D6E-409C-BE32-E72D297353CC}">
                <c16:uniqueId val="{00000002-7B95-47EE-A6FB-66307D6349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'04_Pivot_Table'!$G$8:$G$10</c:f>
              <c:strCache>
                <c:ptCount val="2"/>
                <c:pt idx="0">
                  <c:v>Makanan</c:v>
                </c:pt>
                <c:pt idx="1">
                  <c:v>Minuman</c:v>
                </c:pt>
              </c:strCache>
            </c:strRef>
          </c:cat>
          <c:val>
            <c:numRef>
              <c:f>'04_Pivot_Table'!$H$8:$H$10</c:f>
              <c:numCache>
                <c:formatCode>0.00</c:formatCode>
                <c:ptCount val="2"/>
                <c:pt idx="0">
                  <c:v>2</c:v>
                </c:pt>
                <c:pt idx="1">
                  <c:v>2.7058823529411766</c:v>
                </c:pt>
              </c:numCache>
            </c:numRef>
          </c:val>
          <c:extLst>
            <c:ext xmlns:c16="http://schemas.microsoft.com/office/drawing/2014/chart" uri="{C3380CC4-5D6E-409C-BE32-E72D297353CC}">
              <c16:uniqueId val="{00000000-7B95-47EE-A6FB-66307D634972}"/>
            </c:ext>
          </c:extLst>
        </c:ser>
        <c:dLbls>
          <c:dLblPos val="outEnd"/>
          <c:showLegendKey val="0"/>
          <c:showVal val="1"/>
          <c:showCatName val="0"/>
          <c:showSerName val="0"/>
          <c:showPercent val="0"/>
          <c:showBubbleSize val="0"/>
        </c:dLbls>
        <c:gapWidth val="219"/>
        <c:overlap val="-27"/>
        <c:axId val="1743601616"/>
        <c:axId val="1743602448"/>
      </c:barChart>
      <c:catAx>
        <c:axId val="174360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602448"/>
        <c:crosses val="autoZero"/>
        <c:auto val="1"/>
        <c:lblAlgn val="ctr"/>
        <c:lblOffset val="100"/>
        <c:noMultiLvlLbl val="0"/>
      </c:catAx>
      <c:valAx>
        <c:axId val="1743602448"/>
        <c:scaling>
          <c:orientation val="minMax"/>
        </c:scaling>
        <c:delete val="1"/>
        <c:axPos val="l"/>
        <c:numFmt formatCode="0.00" sourceLinked="1"/>
        <c:majorTickMark val="none"/>
        <c:minorTickMark val="none"/>
        <c:tickLblPos val="nextTo"/>
        <c:crossAx val="1743601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[coffee-shop-sales-analysis.xlsx]04_Pivot_Table!PivotTable7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 Pendapatan Harian</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ln>
            <a:solidFill>
              <a:srgbClr val="C69C6D"/>
            </a:solidFill>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'04_Pivot_Table'!$B$13</c:f>
              <c:strCache>
                <c:ptCount val="1"/>
                <c:pt idx="0">
                  <c:v>Total</c:v>
                </c:pt>
              </c:strCache>
            </c:strRef>
          </c:tx>
          <c:spPr>
            <a:ln>
              <a:solidFill>
                <a:srgbClr val="C69C6D"/>
              </a:solidFill>
            </a:ln>
            <a:effectLst/>
          </c:spPr>
          <c:marker>
            <c:symbol val="none"/>
          </c:marker>
          <c:cat>
            <c:strRef>
              <c:f>'04_Pivot_Table'!$A$14:$A$24</c:f>
              <c:strCache>
                <c:ptCount val="10"/>
                <c:pt idx="0">
                  <c:v>01/10/2026</c:v>
                </c:pt>
                <c:pt idx="1">
                  <c:v>02/10/2026</c:v>
                </c:pt>
                <c:pt idx="2">
                  <c:v>03/10/2026</c:v>
                </c:pt>
                <c:pt idx="3">
                  <c:v>04/10/2026</c:v>
                </c:pt>
                <c:pt idx="4">
                  <c:v>05/10/2026</c:v>
                </c:pt>
                <c:pt idx="5">
                  <c:v>06/10/2026</c:v>
                </c:pt>
                <c:pt idx="6">
                  <c:v>07/10/2026</c:v>
                </c:pt>
                <c:pt idx="7">
                  <c:v>08/10/2026</c:v>
                </c:pt>
                <c:pt idx="8">
                  <c:v>09/10/2026</c:v>
                </c:pt>
                <c:pt idx="9">
                  <c:v>10/10/2026</c:v>
                </c:pt>
              </c:strCache>
            </c:strRef>
          </c:cat>
          <c:val>
            <c:numRef>
              <c:f>'04_Pivot_Table'!$B$14:$B$24</c:f>
              <c:numCache>
                <c:formatCode>_-[$Rp-421]* #,##0_-;\-[$Rp-421]* #,##0_-;_-[$Rp-421]* "-"_-;_-@_-</c:formatCode>
                <c:ptCount val="10"/>
                <c:pt idx="0">
                  <c:v>232000</c:v>
                </c:pt>
                <c:pt idx="1">
                  <c:v>318000</c:v>
                </c:pt>
                <c:pt idx="2">
                  <c:v>224000</c:v>
                </c:pt>
                <c:pt idx="3">
                  <c:v>302000</c:v>
                </c:pt>
                <c:pt idx="4">
                  <c:v>349000</c:v>
                </c:pt>
                <c:pt idx="5">
                  <c:v>287000</c:v>
                </c:pt>
                <c:pt idx="6">
                  <c:v>320000</c:v>
                </c:pt>
                <c:pt idx="7">
                  <c:v>274000</c:v>
                </c:pt>
                <c:pt idx="8">
                  <c:v>294000</c:v>
                </c:pt>
                <c:pt idx="9">
                  <c:v>278000</c:v>
                </c:pt>
              </c:numCache>
            </c:numRef>
          </c:val>
          <c:smooth val="0"/>
          <c:extLst>
            <c:ext xmlns:c16="http://schemas.microsoft.com/office/drawing/2014/chart" uri="{C3380CC4-5D6E-409C-BE32-E72D297353CC}">
              <c16:uniqueId val="{00000003-A598-4F10-A6E4-9EE88C2066D9}"/>
            </c:ext>
          </c:extLst>
        </c:ser>
        <c:dLbls>
          <c:showLegendKey val="0"/>
          <c:showVal val="0"/>
          <c:showCatName val="0"/>
          <c:showSerName val="0"/>
          <c:showPercent val="0"/>
          <c:showBubbleSize val="0"/>
        </c:dLbls>
        <c:smooth val="0"/>
        <c:axId val="158724800"/>
        <c:axId val="158718976"/>
      </c:lineChart>
      <c:dateAx>
        <c:axId val="15872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18976"/>
        <c:crosses val="autoZero"/>
        <c:auto val="0"/>
        <c:lblOffset val="100"/>
        <c:baseTimeUnit val="days"/>
      </c:dateAx>
      <c:valAx>
        <c:axId val="158718976"/>
        <c:scaling>
          <c:orientation val="minMax"/>
        </c:scaling>
        <c:delete val="0"/>
        <c:axPos val="l"/>
        <c:numFmt formatCode="_-[$Rp-421]* #,##0_-;\-[$Rp-421]* #,##0_-;_-[$Rp-421]*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24800"/>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[coffee-shop-sales-analysis.xlsx]04_Pivot_Table!PivotTable9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Pendapatan per</a:t>
            </a:r>
            <a:r>
              <a:rPr lang="en-US" baseline="0"/>
              <a:t> Menu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69C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B5A2B"/>
          </a:solidFill>
          <a:ln>
            <a:noFill/>
          </a:ln>
          <a:effectLst/>
        </c:spPr>
      </c:pivotFmt>
    </c:pivotFmts>
    <c:plotArea>
      <c:layout/>
      <c:barChart>
        <c:barDir val="bar"/>
        <c:grouping val="clustered"/>
        <c:varyColors val="0"/>
        <c:ser>
          <c:idx val="0"/>
          <c:order val="0"/>
          <c:tx>
            <c:strRef>
              <c:f>'04_Pivot_Table'!$E$13</c:f>
              <c:strCache>
                <c:ptCount val="1"/>
                <c:pt idx="0">
                  <c:v>Total</c:v>
                </c:pt>
              </c:strCache>
            </c:strRef>
          </c:tx>
          <c:spPr>
            <a:solidFill>
              <a:srgbClr val="C69C6D"/>
            </a:solidFill>
            <a:ln>
              <a:noFill/>
            </a:ln>
            <a:effectLst/>
          </c:spPr>
          <c:invertIfNegative val="0"/>
          <c:dPt>
            <c:idx val="7"/>
            <c:invertIfNegative val="0"/>
            <c:bubble3D val="0"/>
            <c:spPr>
              <a:solidFill>
                <a:srgbClr val="8B5A2B"/>
              </a:solidFill>
              <a:ln>
                <a:noFill/>
              </a:ln>
              <a:effectLst/>
            </c:spPr>
            <c:extLst>
              <c:ext xmlns:c16="http://schemas.microsoft.com/office/drawing/2014/chart" uri="{C3380CC4-5D6E-409C-BE32-E72D297353CC}">
                <c16:uniqueId val="{00000001-4666-4556-8706-3EDBCEAA28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'04_Pivot_Table'!$D$14:$D$22</c:f>
              <c:strCache>
                <c:ptCount val="8"/>
                <c:pt idx="0">
                  <c:v>Chocolate Cake</c:v>
                </c:pt>
                <c:pt idx="1">
                  <c:v>Croissant</c:v>
                </c:pt>
                <c:pt idx="2">
                  <c:v>Chicken Sandwich</c:v>
                </c:pt>
                <c:pt idx="3">
                  <c:v>Cappuccino</c:v>
                </c:pt>
                <c:pt idx="4">
                  <c:v>Matcha Latte</c:v>
                </c:pt>
                <c:pt idx="5">
                  <c:v>Americano</c:v>
                </c:pt>
                <c:pt idx="6">
                  <c:v>Latte</c:v>
                </c:pt>
                <c:pt idx="7">
                  <c:v>Es Kopi Susu</c:v>
                </c:pt>
              </c:strCache>
            </c:strRef>
          </c:cat>
          <c:val>
            <c:numRef>
              <c:f>'04_Pivot_Table'!$E$14:$E$22</c:f>
              <c:numCache>
                <c:formatCode>_-[$Rp-421]* #,##0_-;\-[$Rp-421]* #,##0_-;_-[$Rp-421]* "-"_-;_-@_-</c:formatCode>
                <c:ptCount val="8"/>
                <c:pt idx="0">
                  <c:v>198000</c:v>
                </c:pt>
                <c:pt idx="1">
                  <c:v>280000</c:v>
                </c:pt>
                <c:pt idx="2">
                  <c:v>288000</c:v>
                </c:pt>
                <c:pt idx="3">
                  <c:v>325000</c:v>
                </c:pt>
                <c:pt idx="4">
                  <c:v>336000</c:v>
                </c:pt>
                <c:pt idx="5">
                  <c:v>360000</c:v>
                </c:pt>
                <c:pt idx="6">
                  <c:v>475000</c:v>
                </c:pt>
                <c:pt idx="7">
                  <c:v>616000</c:v>
                </c:pt>
              </c:numCache>
            </c:numRef>
          </c:val>
          <c:extLst>
            <c:ext xmlns:c16="http://schemas.microsoft.com/office/drawing/2014/chart" uri="{C3380CC4-5D6E-409C-BE32-E72D297353CC}">
              <c16:uniqueId val="{00000000-6139-4D0D-BDEF-2248EFF8D41F}"/>
            </c:ext>
          </c:extLst>
        </c:ser>
        <c:dLbls>
          <c:dLblPos val="outEnd"/>
          <c:showLegendKey val="0"/>
          <c:showVal val="1"/>
          <c:showCatName val="0"/>
          <c:showSerName val="0"/>
          <c:showPercent val="0"/>
          <c:showBubbleSize val="0"/>
        </c:dLbls>
        <c:gapWidth val="182"/>
        <c:axId val="66412656"/>
        <c:axId val="66418480"/>
      </c:barChart>
      <c:catAx>
        <c:axId val="664126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18480"/>
        <c:crosses val="autoZero"/>
        <c:auto val="1"/>
        <c:lblAlgn val="ctr"/>
        <c:lblOffset val="100"/>
        <c:noMultiLvlLbl val="0"/>
      </c:catAx>
      <c:valAx>
        <c:axId val="66418480"/>
        <c:scaling>
          <c:orientation val="minMax"/>
        </c:scaling>
        <c:delete val="1"/>
        <c:axPos val="b"/>
        <c:numFmt formatCode="_-[$Rp-421]* #,##0_-;\-[$Rp-421]* #,##0_-;_-[$Rp-421]* &quot;-&quot;_-;_-@_-" sourceLinked="1"/>
        <c:majorTickMark val="out"/>
        <c:minorTickMark val="none"/>
        <c:tickLblPos val="nextTo"/>
        <c:crossAx val="66412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250371</xdr:colOff>
      <xdr:row>6</xdr:row>
      <xdr:rowOff>65316</xdr:rowOff>
    </xdr:from>
    <xdr:to>
      <xdr:col>7</xdr:col>
      <xdr:colOff>555170</xdr:colOff>
      <xdr:row>20</xdr:row>
      <xdr:rowOff>97972</xdr:rowOff>
    </xdr:to>
    <xdr:sp macro="" textlink="">
      <xdr:nvSpPr>
        <xdr:cNvPr id="23" name="Rectangle: Rounded Corners 22">
          <a:extLst>
            <a:ext uri="{FF2B5EF4-FFF2-40B4-BE49-F238E27FC236}">
              <a16:creationId xmlns:a16="http://schemas.microsoft.com/office/drawing/2014/main" id="{982331EA-D7B6-46F3-9210-A489EAB3D6C8}"/>
            </a:ext>
          </a:extLst>
        </xdr:cNvPr>
        <xdr:cNvSpPr/>
      </xdr:nvSpPr>
      <xdr:spPr>
        <a:xfrm>
          <a:off x="250371" y="1284516"/>
          <a:ext cx="4571999" cy="2623456"/>
        </a:xfrm>
        <a:prstGeom prst="roundRect">
          <a:avLst/>
        </a:prstGeom>
        <a:solidFill>
          <a:schemeClr val="bg1"/>
        </a:solidFill>
        <a:ln>
          <a:solidFill>
            <a:srgbClr val="E5DCC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283029</xdr:colOff>
      <xdr:row>22</xdr:row>
      <xdr:rowOff>76200</xdr:rowOff>
    </xdr:from>
    <xdr:to>
      <xdr:col>7</xdr:col>
      <xdr:colOff>566059</xdr:colOff>
      <xdr:row>36</xdr:row>
      <xdr:rowOff>119743</xdr:rowOff>
    </xdr:to>
    <xdr:sp macro="" textlink="">
      <xdr:nvSpPr>
        <xdr:cNvPr id="20" name="Rectangle: Rounded Corners 19">
          <a:extLst>
            <a:ext uri="{FF2B5EF4-FFF2-40B4-BE49-F238E27FC236}">
              <a16:creationId xmlns:a16="http://schemas.microsoft.com/office/drawing/2014/main" id="{0F16CFF6-2D0B-49A8-9F79-1C0E466B7F1E}"/>
            </a:ext>
          </a:extLst>
        </xdr:cNvPr>
        <xdr:cNvSpPr/>
      </xdr:nvSpPr>
      <xdr:spPr>
        <a:xfrm>
          <a:off x="283029" y="4256314"/>
          <a:ext cx="4550230" cy="2634343"/>
        </a:xfrm>
        <a:prstGeom prst="roundRect">
          <a:avLst/>
        </a:prstGeom>
        <a:solidFill>
          <a:schemeClr val="bg1"/>
        </a:solidFill>
        <a:ln>
          <a:solidFill>
            <a:srgbClr val="E5DCC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315685</xdr:colOff>
      <xdr:row>22</xdr:row>
      <xdr:rowOff>97971</xdr:rowOff>
    </xdr:from>
    <xdr:to>
      <xdr:col>15</xdr:col>
      <xdr:colOff>598715</xdr:colOff>
      <xdr:row>36</xdr:row>
      <xdr:rowOff>141514</xdr:rowOff>
    </xdr:to>
    <xdr:sp macro="" textlink="">
      <xdr:nvSpPr>
        <xdr:cNvPr id="21" name="Rectangle: Rounded Corners 20">
          <a:extLst>
            <a:ext uri="{FF2B5EF4-FFF2-40B4-BE49-F238E27FC236}">
              <a16:creationId xmlns:a16="http://schemas.microsoft.com/office/drawing/2014/main" id="{DD8A51A2-602C-407A-99D7-1386A0EBFD99}"/>
            </a:ext>
          </a:extLst>
        </xdr:cNvPr>
        <xdr:cNvSpPr/>
      </xdr:nvSpPr>
      <xdr:spPr>
        <a:xfrm>
          <a:off x="5192485" y="4278085"/>
          <a:ext cx="4550230" cy="2634343"/>
        </a:xfrm>
        <a:prstGeom prst="roundRect">
          <a:avLst/>
        </a:prstGeom>
        <a:solidFill>
          <a:schemeClr val="bg1"/>
        </a:solidFill>
        <a:ln>
          <a:solidFill>
            <a:srgbClr val="E5DCC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337456</xdr:colOff>
      <xdr:row>6</xdr:row>
      <xdr:rowOff>97971</xdr:rowOff>
    </xdr:from>
    <xdr:to>
      <xdr:col>16</xdr:col>
      <xdr:colOff>10886</xdr:colOff>
      <xdr:row>20</xdr:row>
      <xdr:rowOff>141514</xdr:rowOff>
    </xdr:to>
    <xdr:sp macro="" textlink="">
      <xdr:nvSpPr>
        <xdr:cNvPr id="22" name="Rectangle: Rounded Corners 21">
          <a:extLst>
            <a:ext uri="{FF2B5EF4-FFF2-40B4-BE49-F238E27FC236}">
              <a16:creationId xmlns:a16="http://schemas.microsoft.com/office/drawing/2014/main" id="{C0FAB2FB-8617-4FF0-A764-19C69ACBCD34}"/>
            </a:ext>
          </a:extLst>
        </xdr:cNvPr>
        <xdr:cNvSpPr/>
      </xdr:nvSpPr>
      <xdr:spPr>
        <a:xfrm>
          <a:off x="5214256" y="1317171"/>
          <a:ext cx="4550230" cy="2634343"/>
        </a:xfrm>
        <a:prstGeom prst="roundRect">
          <a:avLst/>
        </a:prstGeom>
        <a:solidFill>
          <a:schemeClr val="bg1"/>
        </a:solidFill>
        <a:ln>
          <a:solidFill>
            <a:srgbClr val="E5DCC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457200</xdr:colOff>
      <xdr:row>22</xdr:row>
      <xdr:rowOff>108857</xdr:rowOff>
    </xdr:from>
    <xdr:to>
      <xdr:col>24</xdr:col>
      <xdr:colOff>130630</xdr:colOff>
      <xdr:row>36</xdr:row>
      <xdr:rowOff>152400</xdr:rowOff>
    </xdr:to>
    <xdr:sp macro="" textlink="">
      <xdr:nvSpPr>
        <xdr:cNvPr id="19" name="Rectangle: Rounded Corners 18">
          <a:extLst>
            <a:ext uri="{FF2B5EF4-FFF2-40B4-BE49-F238E27FC236}">
              <a16:creationId xmlns:a16="http://schemas.microsoft.com/office/drawing/2014/main" id="{E4D68AD4-F169-4049-B02D-413235F08BFC}"/>
            </a:ext>
          </a:extLst>
        </xdr:cNvPr>
        <xdr:cNvSpPr/>
      </xdr:nvSpPr>
      <xdr:spPr>
        <a:xfrm>
          <a:off x="10210800" y="4288971"/>
          <a:ext cx="4550230" cy="2634343"/>
        </a:xfrm>
        <a:prstGeom prst="roundRect">
          <a:avLst/>
        </a:prstGeom>
        <a:solidFill>
          <a:schemeClr val="bg1"/>
        </a:solidFill>
        <a:ln>
          <a:solidFill>
            <a:srgbClr val="E5DCC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478972</xdr:colOff>
      <xdr:row>6</xdr:row>
      <xdr:rowOff>76201</xdr:rowOff>
    </xdr:from>
    <xdr:to>
      <xdr:col>24</xdr:col>
      <xdr:colOff>152402</xdr:colOff>
      <xdr:row>20</xdr:row>
      <xdr:rowOff>119744</xdr:rowOff>
    </xdr:to>
    <xdr:sp macro="" textlink="">
      <xdr:nvSpPr>
        <xdr:cNvPr id="18" name="Rectangle: Rounded Corners 17">
          <a:extLst>
            <a:ext uri="{FF2B5EF4-FFF2-40B4-BE49-F238E27FC236}">
              <a16:creationId xmlns:a16="http://schemas.microsoft.com/office/drawing/2014/main" id="{A2519AB8-01E3-4C50-AA38-5A81693F8869}"/>
            </a:ext>
          </a:extLst>
        </xdr:cNvPr>
        <xdr:cNvSpPr/>
      </xdr:nvSpPr>
      <xdr:spPr>
        <a:xfrm>
          <a:off x="10232572" y="1295401"/>
          <a:ext cx="4550230" cy="2634343"/>
        </a:xfrm>
        <a:prstGeom prst="roundRect">
          <a:avLst/>
        </a:prstGeom>
        <a:solidFill>
          <a:schemeClr val="bg1"/>
        </a:solidFill>
        <a:ln>
          <a:solidFill>
            <a:srgbClr val="E5DCC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596900</xdr:colOff>
      <xdr:row>22</xdr:row>
      <xdr:rowOff>94343</xdr:rowOff>
    </xdr:from>
    <xdr:to>
      <xdr:col>32</xdr:col>
      <xdr:colOff>313873</xdr:colOff>
      <xdr:row>36</xdr:row>
      <xdr:rowOff>174172</xdr:rowOff>
    </xdr:to>
    <xdr:sp macro="" textlink="">
      <xdr:nvSpPr>
        <xdr:cNvPr id="17" name="Rectangle: Rounded Corners 16">
          <a:extLst>
            <a:ext uri="{FF2B5EF4-FFF2-40B4-BE49-F238E27FC236}">
              <a16:creationId xmlns:a16="http://schemas.microsoft.com/office/drawing/2014/main" id="{F9B41A1B-F570-407F-99A1-313573586395}"/>
            </a:ext>
          </a:extLst>
        </xdr:cNvPr>
        <xdr:cNvSpPr/>
      </xdr:nvSpPr>
      <xdr:spPr>
        <a:xfrm>
          <a:off x="15227300" y="5174343"/>
          <a:ext cx="4593773" cy="2569029"/>
        </a:xfrm>
        <a:prstGeom prst="roundRect">
          <a:avLst/>
        </a:prstGeom>
        <a:solidFill>
          <a:schemeClr val="bg1"/>
        </a:solidFill>
        <a:ln>
          <a:solidFill>
            <a:srgbClr val="E5DCC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609599</xdr:colOff>
      <xdr:row>6</xdr:row>
      <xdr:rowOff>88899</xdr:rowOff>
    </xdr:from>
    <xdr:to>
      <xdr:col>32</xdr:col>
      <xdr:colOff>283029</xdr:colOff>
      <xdr:row>20</xdr:row>
      <xdr:rowOff>132442</xdr:rowOff>
    </xdr:to>
    <xdr:sp macro="" textlink="">
      <xdr:nvSpPr>
        <xdr:cNvPr id="5" name="Rectangle: Rounded Corners 4">
          <a:extLst>
            <a:ext uri="{FF2B5EF4-FFF2-40B4-BE49-F238E27FC236}">
              <a16:creationId xmlns:a16="http://schemas.microsoft.com/office/drawing/2014/main" id="{22E2797E-78E7-4617-BBFA-BCF5861EE47C}"/>
            </a:ext>
          </a:extLst>
        </xdr:cNvPr>
        <xdr:cNvSpPr/>
      </xdr:nvSpPr>
      <xdr:spPr>
        <a:xfrm>
          <a:off x="15239999" y="2324099"/>
          <a:ext cx="4550230" cy="2532743"/>
        </a:xfrm>
        <a:prstGeom prst="roundRect">
          <a:avLst/>
        </a:prstGeom>
        <a:solidFill>
          <a:schemeClr val="bg1"/>
        </a:solidFill>
        <a:ln>
          <a:solidFill>
            <a:srgbClr val="E5DCC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195943</xdr:colOff>
      <xdr:row>5</xdr:row>
      <xdr:rowOff>881743</xdr:rowOff>
    </xdr:from>
    <xdr:to>
      <xdr:col>7</xdr:col>
      <xdr:colOff>355963</xdr:colOff>
      <xdr:row>20</xdr:row>
      <xdr:rowOff>152400</xdr:rowOff>
    </xdr:to>
    <xdr:graphicFrame macro="">
      <xdr:nvGraphicFramePr>
        <xdr:cNvPr id="2" name="Chart 1">
          <a:extLst>
            <a:ext uri="{FF2B5EF4-FFF2-40B4-BE49-F238E27FC236}">
              <a16:creationId xmlns:a16="http://schemas.microsoft.com/office/drawing/2014/main" id="{E71797B1-9A4B-4B5F-8799-86D08454C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362495</xdr:colOff>
      <xdr:row>22</xdr:row>
      <xdr:rowOff>7620</xdr:rowOff>
    </xdr:from>
    <xdr:to>
      <xdr:col>7</xdr:col>
      <xdr:colOff>552995</xdr:colOff>
      <xdr:row>37</xdr:row>
      <xdr:rowOff>7620</xdr:rowOff>
    </xdr:to>
    <xdr:graphicFrame macro="">
      <xdr:nvGraphicFramePr>
        <xdr:cNvPr id="3" name="Chart 2">
          <a:extLst>
            <a:ext uri="{FF2B5EF4-FFF2-40B4-BE49-F238E27FC236}">
              <a16:creationId xmlns:a16="http://schemas.microsoft.com/office/drawing/2014/main" id="{4F39B23D-211F-45E6-B1D3-34091346C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391886</xdr:colOff>
      <xdr:row>22</xdr:row>
      <xdr:rowOff>1</xdr:rowOff>
    </xdr:from>
    <xdr:to>
      <xdr:col>16</xdr:col>
      <xdr:colOff>87086</xdr:colOff>
      <xdr:row>37</xdr:row>
      <xdr:rowOff>1</xdr:rowOff>
    </xdr:to>
    <xdr:graphicFrame macro="">
      <xdr:nvGraphicFramePr>
        <xdr:cNvPr id="4" name="Chart 3">
          <a:extLst>
            <a:ext uri="{FF2B5EF4-FFF2-40B4-BE49-F238E27FC236}">
              <a16:creationId xmlns:a16="http://schemas.microsoft.com/office/drawing/2014/main" id="{3C6E6AC6-7285-4664-8182-076CBEBA2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435429</xdr:colOff>
      <xdr:row>5</xdr:row>
      <xdr:rowOff>914398</xdr:rowOff>
    </xdr:from>
    <xdr:to>
      <xdr:col>16</xdr:col>
      <xdr:colOff>130629</xdr:colOff>
      <xdr:row>20</xdr:row>
      <xdr:rowOff>185055</xdr:rowOff>
    </xdr:to>
    <xdr:graphicFrame macro="">
      <xdr:nvGraphicFramePr>
        <xdr:cNvPr id="6" name="Chart 5">
          <a:extLst>
            <a:ext uri="{FF2B5EF4-FFF2-40B4-BE49-F238E27FC236}">
              <a16:creationId xmlns:a16="http://schemas.microsoft.com/office/drawing/2014/main" id="{53A471F8-9330-4CA0-ADBF-266D4376B8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511629</xdr:colOff>
      <xdr:row>6</xdr:row>
      <xdr:rowOff>21773</xdr:rowOff>
    </xdr:from>
    <xdr:to>
      <xdr:col>24</xdr:col>
      <xdr:colOff>206828</xdr:colOff>
      <xdr:row>21</xdr:row>
      <xdr:rowOff>21773</xdr:rowOff>
    </xdr:to>
    <xdr:graphicFrame macro="">
      <xdr:nvGraphicFramePr>
        <xdr:cNvPr id="7" name="Chart 6">
          <a:extLst>
            <a:ext uri="{FF2B5EF4-FFF2-40B4-BE49-F238E27FC236}">
              <a16:creationId xmlns:a16="http://schemas.microsoft.com/office/drawing/2014/main" id="{EF7CFD72-16CC-42D5-ABDF-1AAE15515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519165</xdr:colOff>
      <xdr:row>22</xdr:row>
      <xdr:rowOff>10886</xdr:rowOff>
    </xdr:from>
    <xdr:to>
      <xdr:col>24</xdr:col>
      <xdr:colOff>225251</xdr:colOff>
      <xdr:row>37</xdr:row>
      <xdr:rowOff>10886</xdr:rowOff>
    </xdr:to>
    <xdr:graphicFrame macro="">
      <xdr:nvGraphicFramePr>
        <xdr:cNvPr id="8" name="Chart 7">
          <a:extLst>
            <a:ext uri="{FF2B5EF4-FFF2-40B4-BE49-F238E27FC236}">
              <a16:creationId xmlns:a16="http://schemas.microsoft.com/office/drawing/2014/main" id="{63F5EF83-E413-451C-9536-7236B9070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596900</xdr:colOff>
      <xdr:row>5</xdr:row>
      <xdr:rowOff>63499</xdr:rowOff>
    </xdr:from>
    <xdr:to>
      <xdr:col>21</xdr:col>
      <xdr:colOff>587375</xdr:colOff>
      <xdr:row>5</xdr:row>
      <xdr:rowOff>612139</xdr:rowOff>
    </xdr:to>
    <xdr:sp macro="" textlink="">
      <xdr:nvSpPr>
        <xdr:cNvPr id="9" name="TextBox 8">
          <a:extLst>
            <a:ext uri="{FF2B5EF4-FFF2-40B4-BE49-F238E27FC236}">
              <a16:creationId xmlns:a16="http://schemas.microsoft.com/office/drawing/2014/main" id="{6E08BC45-635E-47C2-9FB6-A2E576E6479A}"/>
            </a:ext>
          </a:extLst>
        </xdr:cNvPr>
        <xdr:cNvSpPr txBox="1"/>
      </xdr:nvSpPr>
      <xdr:spPr>
        <a:xfrm>
          <a:off x="6692900" y="4025899"/>
          <a:ext cx="6696075" cy="548640"/>
        </a:xfrm>
        <a:prstGeom prst="rect">
          <a:avLst/>
        </a:prstGeom>
        <a:solidFill>
          <a:srgbClr val="8B5A2B"/>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Insight: </a:t>
          </a:r>
          <a:r>
            <a:rPr lang="en-US" sz="1400" b="0" i="1">
              <a:solidFill>
                <a:schemeClr val="bg1"/>
              </a:solidFill>
              <a:effectLst/>
              <a:latin typeface="+mn-lt"/>
              <a:ea typeface="+mn-ea"/>
              <a:cs typeface="+mn-cs"/>
            </a:rPr>
            <a:t>QRIS mendominasi pembayaran (44%). Minuman menyumbang 73% dari total pendapatan, dengan Es Kopi Susu sebagai pendorong utamanya (28 unit).</a:t>
          </a:r>
          <a:endParaRPr lang="en-US" sz="1400">
            <a:solidFill>
              <a:schemeClr val="bg1"/>
            </a:solidFill>
          </a:endParaRPr>
        </a:p>
      </xdr:txBody>
    </xdr:sp>
    <xdr:clientData/>
  </xdr:twoCellAnchor>
  <xdr:twoCellAnchor editAs="oneCell">
    <xdr:from>
      <xdr:col>0</xdr:col>
      <xdr:colOff>600349</xdr:colOff>
      <xdr:row>5</xdr:row>
      <xdr:rowOff>27214</xdr:rowOff>
    </xdr:from>
    <xdr:to>
      <xdr:col>3</xdr:col>
      <xdr:colOff>457201</xdr:colOff>
      <xdr:row>5</xdr:row>
      <xdr:rowOff>587828</xdr:rowOff>
    </xdr:to>
    <mc:AlternateContent xmlns:mc="http://schemas.openxmlformats.org/markup-compatibility/2006" xmlns:a14="http://schemas.microsoft.com/office/drawing/2010/main">
      <mc:Choice Requires="a14">
        <xdr:graphicFrame macro="">
          <xdr:nvGraphicFramePr>
            <xdr:cNvPr id="12" name="tanggal">
              <a:extLst>
                <a:ext uri="{FF2B5EF4-FFF2-40B4-BE49-F238E27FC236}">
                  <a16:creationId xmlns:a16="http://schemas.microsoft.com/office/drawing/2014/main" id="{897A2F34-62BF-4B3D-8159-3EBB6AA32BDF}"/>
                </a:ext>
              </a:extLst>
            </xdr:cNvPr>
            <xdr:cNvGraphicFramePr/>
          </xdr:nvGraphicFramePr>
          <xdr:xfrm>
            <a:off x="0" y="0"/>
            <a:ext cx="0" cy="0"/>
          </xdr:xfrm>
          <a:graphic>
            <a:graphicData uri="http://schemas.microsoft.com/office/drawing/2010/slicer">
              <sle:slicer xmlns:sle="http://schemas.microsoft.com/office/drawing/2010/slicer" name="tanggal"/>
            </a:graphicData>
          </a:graphic>
        </xdr:graphicFrame>
      </mc:Choice>
      <mc:Fallback xmlns="">
        <xdr:sp macro="" textlink="">
          <xdr:nvSpPr>
            <xdr:cNvPr id="0" name=""/>
            <xdr:cNvSpPr>
              <a:spLocks noTextEdit="1"/>
            </xdr:cNvSpPr>
          </xdr:nvSpPr>
          <xdr:spPr>
            <a:xfrm>
              <a:off x="600349" y="1333500"/>
              <a:ext cx="1685652" cy="5606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78922</xdr:colOff>
      <xdr:row>5</xdr:row>
      <xdr:rowOff>39188</xdr:rowOff>
    </xdr:from>
    <xdr:to>
      <xdr:col>7</xdr:col>
      <xdr:colOff>78922</xdr:colOff>
      <xdr:row>5</xdr:row>
      <xdr:rowOff>609600</xdr:rowOff>
    </xdr:to>
    <mc:AlternateContent xmlns:mc="http://schemas.openxmlformats.org/markup-compatibility/2006" xmlns:a14="http://schemas.microsoft.com/office/drawing/2010/main">
      <mc:Choice Requires="a14">
        <xdr:graphicFrame macro="">
          <xdr:nvGraphicFramePr>
            <xdr:cNvPr id="13" name="metode_pembayaran">
              <a:extLst>
                <a:ext uri="{FF2B5EF4-FFF2-40B4-BE49-F238E27FC236}">
                  <a16:creationId xmlns:a16="http://schemas.microsoft.com/office/drawing/2014/main" id="{7E042955-FE18-4B26-B8CC-F8C2CFAAB6EC}"/>
                </a:ext>
              </a:extLst>
            </xdr:cNvPr>
            <xdr:cNvGraphicFramePr/>
          </xdr:nvGraphicFramePr>
          <xdr:xfrm>
            <a:off x="0" y="0"/>
            <a:ext cx="0" cy="0"/>
          </xdr:xfrm>
          <a:graphic>
            <a:graphicData uri="http://schemas.microsoft.com/office/drawing/2010/slicer">
              <sle:slicer xmlns:sle="http://schemas.microsoft.com/office/drawing/2010/slicer" name="metode_pembayaran"/>
            </a:graphicData>
          </a:graphic>
        </xdr:graphicFrame>
      </mc:Choice>
      <mc:Fallback xmlns="">
        <xdr:sp macro="" textlink="">
          <xdr:nvSpPr>
            <xdr:cNvPr id="0" name=""/>
            <xdr:cNvSpPr>
              <a:spLocks noTextEdit="1"/>
            </xdr:cNvSpPr>
          </xdr:nvSpPr>
          <xdr:spPr>
            <a:xfrm>
              <a:off x="2517322" y="1345474"/>
              <a:ext cx="1828800" cy="5704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34471</xdr:colOff>
      <xdr:row>22</xdr:row>
      <xdr:rowOff>32657</xdr:rowOff>
    </xdr:from>
    <xdr:to>
      <xdr:col>32</xdr:col>
      <xdr:colOff>339271</xdr:colOff>
      <xdr:row>37</xdr:row>
      <xdr:rowOff>74220</xdr:rowOff>
    </xdr:to>
    <xdr:graphicFrame macro="">
      <xdr:nvGraphicFramePr>
        <xdr:cNvPr id="14" name="Chart 13">
          <a:extLst>
            <a:ext uri="{FF2B5EF4-FFF2-40B4-BE49-F238E27FC236}">
              <a16:creationId xmlns:a16="http://schemas.microsoft.com/office/drawing/2014/main" id="{C721B60A-4B61-42B9-884F-2CDC01C9D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567872</xdr:colOff>
      <xdr:row>6</xdr:row>
      <xdr:rowOff>27214</xdr:rowOff>
    </xdr:from>
    <xdr:to>
      <xdr:col>32</xdr:col>
      <xdr:colOff>263072</xdr:colOff>
      <xdr:row>21</xdr:row>
      <xdr:rowOff>68777</xdr:rowOff>
    </xdr:to>
    <xdr:graphicFrame macro="">
      <xdr:nvGraphicFramePr>
        <xdr:cNvPr id="16" name="Chart 15">
          <a:extLst>
            <a:ext uri="{FF2B5EF4-FFF2-40B4-BE49-F238E27FC236}">
              <a16:creationId xmlns:a16="http://schemas.microsoft.com/office/drawing/2014/main" id="{C28C4590-5644-4748-971A-97DEDAA4A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598715</xdr:colOff>
      <xdr:row>1</xdr:row>
      <xdr:rowOff>108857</xdr:rowOff>
    </xdr:from>
    <xdr:to>
      <xdr:col>7</xdr:col>
      <xdr:colOff>522515</xdr:colOff>
      <xdr:row>4</xdr:row>
      <xdr:rowOff>119743</xdr:rowOff>
    </xdr:to>
    <xdr:sp macro="" textlink="'03_Data Bersih + Analisis'!$K$30">
      <xdr:nvSpPr>
        <xdr:cNvPr id="10" name="Rectangle: Rounded Corners 9">
          <a:extLst>
            <a:ext uri="{FF2B5EF4-FFF2-40B4-BE49-F238E27FC236}">
              <a16:creationId xmlns:a16="http://schemas.microsoft.com/office/drawing/2014/main" id="{28E81CF0-D658-4EEC-96E7-57A192A5E54E}"/>
            </a:ext>
          </a:extLst>
        </xdr:cNvPr>
        <xdr:cNvSpPr/>
      </xdr:nvSpPr>
      <xdr:spPr>
        <a:xfrm>
          <a:off x="598715" y="413657"/>
          <a:ext cx="4191000" cy="762000"/>
        </a:xfrm>
        <a:prstGeom prst="roundRect">
          <a:avLst/>
        </a:prstGeom>
        <a:solidFill>
          <a:schemeClr val="bg1"/>
        </a:solidFill>
        <a:ln>
          <a:solidFill>
            <a:srgbClr val="E5DCC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E0381B7-DA0F-4E7D-833B-3F47E0A2A785}" type="TxLink">
            <a:rPr lang="en-US" sz="1800" b="1" i="0" u="none" strike="noStrike">
              <a:solidFill>
                <a:srgbClr val="4B2E1E"/>
              </a:solidFill>
              <a:latin typeface="Calibri"/>
              <a:ea typeface="Calibri"/>
              <a:cs typeface="Calibri"/>
            </a:rPr>
            <a:pPr algn="ctr"/>
            <a:t>Total Pendapatan Rp 2,878,000</a:t>
          </a:fld>
          <a:endParaRPr lang="en-US" sz="1800" b="1">
            <a:solidFill>
              <a:srgbClr val="4B2E1E"/>
            </a:solidFill>
          </a:endParaRPr>
        </a:p>
      </xdr:txBody>
    </xdr:sp>
    <xdr:clientData/>
  </xdr:twoCellAnchor>
  <xdr:twoCellAnchor>
    <xdr:from>
      <xdr:col>8</xdr:col>
      <xdr:colOff>359229</xdr:colOff>
      <xdr:row>1</xdr:row>
      <xdr:rowOff>108857</xdr:rowOff>
    </xdr:from>
    <xdr:to>
      <xdr:col>15</xdr:col>
      <xdr:colOff>283029</xdr:colOff>
      <xdr:row>4</xdr:row>
      <xdr:rowOff>119743</xdr:rowOff>
    </xdr:to>
    <xdr:sp macro="" textlink="">
      <xdr:nvSpPr>
        <xdr:cNvPr id="24" name="Rectangle: Rounded Corners 23">
          <a:extLst>
            <a:ext uri="{FF2B5EF4-FFF2-40B4-BE49-F238E27FC236}">
              <a16:creationId xmlns:a16="http://schemas.microsoft.com/office/drawing/2014/main" id="{5C5813EA-A38B-468E-9FB2-4AF07ACB34A5}"/>
            </a:ext>
          </a:extLst>
        </xdr:cNvPr>
        <xdr:cNvSpPr/>
      </xdr:nvSpPr>
      <xdr:spPr>
        <a:xfrm>
          <a:off x="5236029" y="413657"/>
          <a:ext cx="4191000" cy="762000"/>
        </a:xfrm>
        <a:prstGeom prst="roundRect">
          <a:avLst/>
        </a:prstGeom>
        <a:solidFill>
          <a:schemeClr val="bg1"/>
        </a:solidFill>
        <a:ln>
          <a:solidFill>
            <a:srgbClr val="E5DCC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533400</xdr:colOff>
      <xdr:row>1</xdr:row>
      <xdr:rowOff>119743</xdr:rowOff>
    </xdr:from>
    <xdr:to>
      <xdr:col>23</xdr:col>
      <xdr:colOff>457200</xdr:colOff>
      <xdr:row>4</xdr:row>
      <xdr:rowOff>130629</xdr:rowOff>
    </xdr:to>
    <xdr:sp macro="" textlink="">
      <xdr:nvSpPr>
        <xdr:cNvPr id="25" name="Rectangle: Rounded Corners 24">
          <a:extLst>
            <a:ext uri="{FF2B5EF4-FFF2-40B4-BE49-F238E27FC236}">
              <a16:creationId xmlns:a16="http://schemas.microsoft.com/office/drawing/2014/main" id="{10C747BA-4D60-4170-BE3D-4C8EE4F0D1D7}"/>
            </a:ext>
          </a:extLst>
        </xdr:cNvPr>
        <xdr:cNvSpPr/>
      </xdr:nvSpPr>
      <xdr:spPr>
        <a:xfrm>
          <a:off x="10287000" y="424543"/>
          <a:ext cx="4191000" cy="762000"/>
        </a:xfrm>
        <a:prstGeom prst="roundRect">
          <a:avLst/>
        </a:prstGeom>
        <a:solidFill>
          <a:schemeClr val="bg1"/>
        </a:solidFill>
        <a:ln>
          <a:solidFill>
            <a:srgbClr val="E5DCC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261257</xdr:colOff>
      <xdr:row>1</xdr:row>
      <xdr:rowOff>119743</xdr:rowOff>
    </xdr:from>
    <xdr:to>
      <xdr:col>31</xdr:col>
      <xdr:colOff>185057</xdr:colOff>
      <xdr:row>4</xdr:row>
      <xdr:rowOff>130629</xdr:rowOff>
    </xdr:to>
    <xdr:sp macro="" textlink="">
      <xdr:nvSpPr>
        <xdr:cNvPr id="26" name="Rectangle: Rounded Corners 25">
          <a:extLst>
            <a:ext uri="{FF2B5EF4-FFF2-40B4-BE49-F238E27FC236}">
              <a16:creationId xmlns:a16="http://schemas.microsoft.com/office/drawing/2014/main" id="{711D9366-F34A-4F5F-BAE6-A81B6E5CF291}"/>
            </a:ext>
          </a:extLst>
        </xdr:cNvPr>
        <xdr:cNvSpPr/>
      </xdr:nvSpPr>
      <xdr:spPr>
        <a:xfrm>
          <a:off x="14891657" y="424543"/>
          <a:ext cx="4191000" cy="762000"/>
        </a:xfrm>
        <a:prstGeom prst="roundRect">
          <a:avLst/>
        </a:prstGeom>
        <a:solidFill>
          <a:schemeClr val="bg1"/>
        </a:solidFill>
        <a:ln>
          <a:solidFill>
            <a:srgbClr val="E5DCC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370114</xdr:colOff>
      <xdr:row>1</xdr:row>
      <xdr:rowOff>108857</xdr:rowOff>
    </xdr:from>
    <xdr:to>
      <xdr:col>15</xdr:col>
      <xdr:colOff>293914</xdr:colOff>
      <xdr:row>4</xdr:row>
      <xdr:rowOff>119743</xdr:rowOff>
    </xdr:to>
    <xdr:sp macro="" textlink="'03_Data Bersih + Analisis'!K31">
      <xdr:nvSpPr>
        <xdr:cNvPr id="27" name="Rectangle: Rounded Corners 26">
          <a:extLst>
            <a:ext uri="{FF2B5EF4-FFF2-40B4-BE49-F238E27FC236}">
              <a16:creationId xmlns:a16="http://schemas.microsoft.com/office/drawing/2014/main" id="{94ACD5FF-3DE4-469C-B9A6-2F50B512015F}"/>
            </a:ext>
          </a:extLst>
        </xdr:cNvPr>
        <xdr:cNvSpPr/>
      </xdr:nvSpPr>
      <xdr:spPr>
        <a:xfrm>
          <a:off x="5246914" y="413657"/>
          <a:ext cx="4191000" cy="762000"/>
        </a:xfrm>
        <a:prstGeom prst="roundRect">
          <a:avLst/>
        </a:prstGeom>
        <a:solidFill>
          <a:schemeClr val="bg1"/>
        </a:solidFill>
        <a:ln>
          <a:solidFill>
            <a:srgbClr val="E5DCC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44457B0-1496-4B40-AAD8-4555D1FF9F99}" type="TxLink">
            <a:rPr lang="en-US" sz="1800" b="1" i="0" u="none" strike="noStrike">
              <a:solidFill>
                <a:srgbClr val="4B2E1E"/>
              </a:solidFill>
              <a:latin typeface="Calibri"/>
              <a:ea typeface="Calibri"/>
              <a:cs typeface="Calibri"/>
            </a:rPr>
            <a:pPr algn="ctr"/>
            <a:t>Jumlah Transaksi 50</a:t>
          </a:fld>
          <a:endParaRPr lang="en-US" sz="1800" b="1">
            <a:solidFill>
              <a:srgbClr val="4B2E1E"/>
            </a:solidFill>
          </a:endParaRPr>
        </a:p>
      </xdr:txBody>
    </xdr:sp>
    <xdr:clientData/>
  </xdr:twoCellAnchor>
  <xdr:twoCellAnchor>
    <xdr:from>
      <xdr:col>16</xdr:col>
      <xdr:colOff>533400</xdr:colOff>
      <xdr:row>1</xdr:row>
      <xdr:rowOff>119742</xdr:rowOff>
    </xdr:from>
    <xdr:to>
      <xdr:col>23</xdr:col>
      <xdr:colOff>457200</xdr:colOff>
      <xdr:row>4</xdr:row>
      <xdr:rowOff>130628</xdr:rowOff>
    </xdr:to>
    <xdr:sp macro="" textlink="'03_Data Bersih + Analisis'!K32">
      <xdr:nvSpPr>
        <xdr:cNvPr id="28" name="Rectangle: Rounded Corners 27">
          <a:extLst>
            <a:ext uri="{FF2B5EF4-FFF2-40B4-BE49-F238E27FC236}">
              <a16:creationId xmlns:a16="http://schemas.microsoft.com/office/drawing/2014/main" id="{AAFCA833-CDC3-45F6-A13E-1C5B065278C9}"/>
            </a:ext>
          </a:extLst>
        </xdr:cNvPr>
        <xdr:cNvSpPr/>
      </xdr:nvSpPr>
      <xdr:spPr>
        <a:xfrm>
          <a:off x="10287000" y="424542"/>
          <a:ext cx="4191000" cy="762000"/>
        </a:xfrm>
        <a:prstGeom prst="roundRect">
          <a:avLst/>
        </a:prstGeom>
        <a:solidFill>
          <a:schemeClr val="bg1"/>
        </a:solidFill>
        <a:ln>
          <a:solidFill>
            <a:srgbClr val="E5DCC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B908A31-8C97-4B62-AE5D-A299990B16A4}" type="TxLink">
            <a:rPr lang="en-US" sz="1800" b="1" i="0" u="none" strike="noStrike">
              <a:solidFill>
                <a:srgbClr val="4B2E1E"/>
              </a:solidFill>
              <a:latin typeface="Calibri"/>
              <a:ea typeface="Calibri"/>
              <a:cs typeface="Calibri"/>
            </a:rPr>
            <a:pPr algn="ctr"/>
            <a:t>Item Terjual 124</a:t>
          </a:fld>
          <a:endParaRPr lang="en-US" sz="1800" b="1">
            <a:solidFill>
              <a:srgbClr val="4B2E1E"/>
            </a:solidFill>
          </a:endParaRPr>
        </a:p>
      </xdr:txBody>
    </xdr:sp>
    <xdr:clientData/>
  </xdr:twoCellAnchor>
  <xdr:twoCellAnchor>
    <xdr:from>
      <xdr:col>24</xdr:col>
      <xdr:colOff>272142</xdr:colOff>
      <xdr:row>1</xdr:row>
      <xdr:rowOff>119743</xdr:rowOff>
    </xdr:from>
    <xdr:to>
      <xdr:col>31</xdr:col>
      <xdr:colOff>195942</xdr:colOff>
      <xdr:row>4</xdr:row>
      <xdr:rowOff>130629</xdr:rowOff>
    </xdr:to>
    <xdr:sp macro="" textlink="'03_Data Bersih + Analisis'!K33">
      <xdr:nvSpPr>
        <xdr:cNvPr id="29" name="Rectangle: Rounded Corners 28">
          <a:extLst>
            <a:ext uri="{FF2B5EF4-FFF2-40B4-BE49-F238E27FC236}">
              <a16:creationId xmlns:a16="http://schemas.microsoft.com/office/drawing/2014/main" id="{89435D75-DE73-4BFE-BC82-7A104C13D0F8}"/>
            </a:ext>
          </a:extLst>
        </xdr:cNvPr>
        <xdr:cNvSpPr/>
      </xdr:nvSpPr>
      <xdr:spPr>
        <a:xfrm>
          <a:off x="14902542" y="424543"/>
          <a:ext cx="4191000" cy="762000"/>
        </a:xfrm>
        <a:prstGeom prst="roundRect">
          <a:avLst/>
        </a:prstGeom>
        <a:solidFill>
          <a:schemeClr val="bg1"/>
        </a:solidFill>
        <a:ln>
          <a:solidFill>
            <a:srgbClr val="E5DCC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0221296-6EAA-49FD-8493-7E4DD7F063AF}" type="TxLink">
            <a:rPr lang="en-US" sz="1800" b="1" i="0" u="none" strike="noStrike">
              <a:solidFill>
                <a:srgbClr val="000000"/>
              </a:solidFill>
              <a:latin typeface="Calibri"/>
              <a:ea typeface="Calibri"/>
              <a:cs typeface="Calibri"/>
            </a:rPr>
            <a:pPr algn="ctr"/>
            <a:t>Rata-Rata per Transaksi Rp 57,560</a:t>
          </a:fld>
          <a:endParaRPr lang="en-US" sz="1800" b="1">
            <a:solidFill>
              <a:srgbClr val="4B2E1E"/>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22.557668287038" createdVersion="7" refreshedVersion="7" minRefreshableVersion="3" recordCount="50" xr:uid="{F8107983-475F-4FA6-BD89-56002D57870F}">
  <cacheSource type="worksheet">
    <worksheetSource name="Table_Penjualan"/>
  </cacheSource>
  <cacheFields count="8">
    <cacheField name="order_id" numFmtId="49">
      <sharedItems/>
    </cacheField>
    <cacheField name="tanggal" numFmtId="165">
      <sharedItems containsSemiMixedTypes="0" containsNonDate="0" containsDate="1" containsString="0" minDate="2026-10-01T00:00:00" maxDate="2026-10-11T00:00:00" count="10">
        <d v="2026-10-01T00:00:00"/>
        <d v="2026-10-02T00:00:00"/>
        <d v="2026-10-03T00:00:00"/>
        <d v="2026-10-04T00:00:00"/>
        <d v="2026-10-05T00:00:00"/>
        <d v="2026-10-06T00:00:00"/>
        <d v="2026-10-07T00:00:00"/>
        <d v="2026-10-08T00:00:00"/>
        <d v="2026-10-09T00:00:00"/>
        <d v="2026-10-10T00:00:00"/>
      </sharedItems>
    </cacheField>
    <cacheField name="nama_menu" numFmtId="0">
      <sharedItems count="8">
        <s v="Americano"/>
        <s v="Cappuccino"/>
        <s v="Latte"/>
        <s v="Croissant"/>
        <s v="Matcha Latte"/>
        <s v="Chocolate Cake"/>
        <s v="Chicken Sandwich"/>
        <s v="Es Kopi Susu"/>
      </sharedItems>
    </cacheField>
    <cacheField name="kategori" numFmtId="0">
      <sharedItems count="2">
        <s v="Minuman"/>
        <s v="Makanan"/>
      </sharedItems>
    </cacheField>
    <cacheField name="harga_satuan" numFmtId="164">
      <sharedItems containsSemiMixedTypes="0" containsString="0" containsNumber="1" containsInteger="1" minValue="18000" maxValue="32000"/>
    </cacheField>
    <cacheField name="jumlah_terjual" numFmtId="0">
      <sharedItems containsSemiMixedTypes="0" containsString="0" containsNumber="1" containsInteger="1" minValue="1" maxValue="6"/>
    </cacheField>
    <cacheField name="metode_pembayaran" numFmtId="0">
      <sharedItems count="3">
        <s v="QRIS"/>
        <s v="Tunai"/>
        <s v="Debit"/>
      </sharedItems>
    </cacheField>
    <cacheField name="nilai_transaksi" numFmtId="164">
      <sharedItems containsSemiMixedTypes="0" containsString="0" containsNumber="1" containsInteger="1" minValue="18000" maxValue="132000"/>
    </cacheField>
  </cacheFields>
  <extLst>
    <ext xmlns:x14="http://schemas.microsoft.com/office/spreadsheetml/2009/9/main" uri="{725AE2AE-9491-48be-B2B4-4EB974FC3084}">
      <x14:pivotCacheDefinition pivotCacheId="9592821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ORD001"/>
    <x v="0"/>
    <x v="0"/>
    <x v="0"/>
    <n v="18000"/>
    <n v="2"/>
    <x v="0"/>
    <n v="36000"/>
  </r>
  <r>
    <s v="ORD002"/>
    <x v="0"/>
    <x v="1"/>
    <x v="0"/>
    <n v="25000"/>
    <n v="1"/>
    <x v="1"/>
    <n v="25000"/>
  </r>
  <r>
    <s v="ORD003"/>
    <x v="0"/>
    <x v="2"/>
    <x v="0"/>
    <n v="25000"/>
    <n v="3"/>
    <x v="2"/>
    <n v="75000"/>
  </r>
  <r>
    <s v="ORD004"/>
    <x v="0"/>
    <x v="3"/>
    <x v="1"/>
    <n v="20000"/>
    <n v="2"/>
    <x v="0"/>
    <n v="40000"/>
  </r>
  <r>
    <s v="ORD005"/>
    <x v="0"/>
    <x v="4"/>
    <x v="0"/>
    <n v="28000"/>
    <n v="2"/>
    <x v="2"/>
    <n v="56000"/>
  </r>
  <r>
    <s v="ORD006"/>
    <x v="1"/>
    <x v="0"/>
    <x v="0"/>
    <n v="18000"/>
    <n v="4"/>
    <x v="1"/>
    <n v="72000"/>
  </r>
  <r>
    <s v="ORD007"/>
    <x v="1"/>
    <x v="5"/>
    <x v="1"/>
    <n v="22000"/>
    <n v="1"/>
    <x v="0"/>
    <n v="22000"/>
  </r>
  <r>
    <s v="ORD008"/>
    <x v="1"/>
    <x v="2"/>
    <x v="0"/>
    <n v="25000"/>
    <n v="2"/>
    <x v="0"/>
    <n v="50000"/>
  </r>
  <r>
    <s v="ORD009"/>
    <x v="1"/>
    <x v="6"/>
    <x v="1"/>
    <n v="32000"/>
    <n v="2"/>
    <x v="2"/>
    <n v="64000"/>
  </r>
  <r>
    <s v="ORD010"/>
    <x v="1"/>
    <x v="7"/>
    <x v="0"/>
    <n v="22000"/>
    <n v="5"/>
    <x v="0"/>
    <n v="110000"/>
  </r>
  <r>
    <s v="ORD011"/>
    <x v="2"/>
    <x v="1"/>
    <x v="0"/>
    <n v="25000"/>
    <n v="2"/>
    <x v="2"/>
    <n v="50000"/>
  </r>
  <r>
    <s v="ORD012"/>
    <x v="2"/>
    <x v="3"/>
    <x v="1"/>
    <n v="20000"/>
    <n v="3"/>
    <x v="1"/>
    <n v="60000"/>
  </r>
  <r>
    <s v="ORD013"/>
    <x v="2"/>
    <x v="0"/>
    <x v="0"/>
    <n v="18000"/>
    <n v="3"/>
    <x v="0"/>
    <n v="54000"/>
  </r>
  <r>
    <s v="ORD014"/>
    <x v="2"/>
    <x v="4"/>
    <x v="0"/>
    <n v="28000"/>
    <n v="1"/>
    <x v="1"/>
    <n v="28000"/>
  </r>
  <r>
    <s v="ORD015"/>
    <x v="2"/>
    <x v="6"/>
    <x v="1"/>
    <n v="32000"/>
    <n v="1"/>
    <x v="0"/>
    <n v="32000"/>
  </r>
  <r>
    <s v="ORD016"/>
    <x v="3"/>
    <x v="2"/>
    <x v="0"/>
    <n v="25000"/>
    <n v="4"/>
    <x v="0"/>
    <n v="100000"/>
  </r>
  <r>
    <s v="ORD017"/>
    <x v="3"/>
    <x v="7"/>
    <x v="0"/>
    <n v="22000"/>
    <n v="3"/>
    <x v="2"/>
    <n v="66000"/>
  </r>
  <r>
    <s v="ORD018"/>
    <x v="3"/>
    <x v="5"/>
    <x v="1"/>
    <n v="22000"/>
    <n v="2"/>
    <x v="1"/>
    <n v="44000"/>
  </r>
  <r>
    <s v="ORD019"/>
    <x v="3"/>
    <x v="0"/>
    <x v="0"/>
    <n v="18000"/>
    <n v="2"/>
    <x v="2"/>
    <n v="36000"/>
  </r>
  <r>
    <s v="ORD020"/>
    <x v="3"/>
    <x v="4"/>
    <x v="0"/>
    <n v="28000"/>
    <n v="2"/>
    <x v="0"/>
    <n v="56000"/>
  </r>
  <r>
    <s v="ORD021"/>
    <x v="4"/>
    <x v="1"/>
    <x v="0"/>
    <n v="25000"/>
    <n v="3"/>
    <x v="0"/>
    <n v="75000"/>
  </r>
  <r>
    <s v="ORD022"/>
    <x v="4"/>
    <x v="3"/>
    <x v="1"/>
    <n v="20000"/>
    <n v="2"/>
    <x v="2"/>
    <n v="40000"/>
  </r>
  <r>
    <s v="ORD023"/>
    <x v="4"/>
    <x v="2"/>
    <x v="0"/>
    <n v="25000"/>
    <n v="2"/>
    <x v="1"/>
    <n v="50000"/>
  </r>
  <r>
    <s v="ORD024"/>
    <x v="4"/>
    <x v="6"/>
    <x v="1"/>
    <n v="32000"/>
    <n v="3"/>
    <x v="0"/>
    <n v="96000"/>
  </r>
  <r>
    <s v="ORD025"/>
    <x v="4"/>
    <x v="7"/>
    <x v="0"/>
    <n v="22000"/>
    <n v="4"/>
    <x v="2"/>
    <n v="88000"/>
  </r>
  <r>
    <s v="ORD026"/>
    <x v="5"/>
    <x v="0"/>
    <x v="0"/>
    <n v="18000"/>
    <n v="3"/>
    <x v="0"/>
    <n v="54000"/>
  </r>
  <r>
    <s v="ORD027"/>
    <x v="5"/>
    <x v="5"/>
    <x v="1"/>
    <n v="22000"/>
    <n v="2"/>
    <x v="2"/>
    <n v="44000"/>
  </r>
  <r>
    <s v="ORD028"/>
    <x v="5"/>
    <x v="4"/>
    <x v="0"/>
    <n v="28000"/>
    <n v="3"/>
    <x v="1"/>
    <n v="84000"/>
  </r>
  <r>
    <s v="ORD029"/>
    <x v="5"/>
    <x v="2"/>
    <x v="0"/>
    <n v="25000"/>
    <n v="1"/>
    <x v="0"/>
    <n v="25000"/>
  </r>
  <r>
    <s v="ORD030"/>
    <x v="5"/>
    <x v="3"/>
    <x v="1"/>
    <n v="20000"/>
    <n v="4"/>
    <x v="1"/>
    <n v="80000"/>
  </r>
  <r>
    <s v="ORD031"/>
    <x v="6"/>
    <x v="7"/>
    <x v="0"/>
    <n v="22000"/>
    <n v="6"/>
    <x v="0"/>
    <n v="132000"/>
  </r>
  <r>
    <s v="ORD032"/>
    <x v="6"/>
    <x v="1"/>
    <x v="0"/>
    <n v="25000"/>
    <n v="2"/>
    <x v="2"/>
    <n v="50000"/>
  </r>
  <r>
    <s v="ORD033"/>
    <x v="6"/>
    <x v="6"/>
    <x v="1"/>
    <n v="32000"/>
    <n v="2"/>
    <x v="1"/>
    <n v="64000"/>
  </r>
  <r>
    <s v="ORD034"/>
    <x v="6"/>
    <x v="0"/>
    <x v="0"/>
    <n v="18000"/>
    <n v="1"/>
    <x v="0"/>
    <n v="18000"/>
  </r>
  <r>
    <s v="ORD035"/>
    <x v="6"/>
    <x v="4"/>
    <x v="0"/>
    <n v="28000"/>
    <n v="2"/>
    <x v="2"/>
    <n v="56000"/>
  </r>
  <r>
    <s v="ORD036"/>
    <x v="7"/>
    <x v="2"/>
    <x v="0"/>
    <n v="25000"/>
    <n v="3"/>
    <x v="0"/>
    <n v="75000"/>
  </r>
  <r>
    <s v="ORD037"/>
    <x v="7"/>
    <x v="3"/>
    <x v="1"/>
    <n v="20000"/>
    <n v="1"/>
    <x v="1"/>
    <n v="20000"/>
  </r>
  <r>
    <s v="ORD038"/>
    <x v="7"/>
    <x v="7"/>
    <x v="0"/>
    <n v="22000"/>
    <n v="4"/>
    <x v="2"/>
    <n v="88000"/>
  </r>
  <r>
    <s v="ORD039"/>
    <x v="7"/>
    <x v="5"/>
    <x v="1"/>
    <n v="22000"/>
    <n v="3"/>
    <x v="0"/>
    <n v="66000"/>
  </r>
  <r>
    <s v="ORD040"/>
    <x v="7"/>
    <x v="1"/>
    <x v="0"/>
    <n v="25000"/>
    <n v="1"/>
    <x v="1"/>
    <n v="25000"/>
  </r>
  <r>
    <s v="ORD041"/>
    <x v="8"/>
    <x v="0"/>
    <x v="0"/>
    <n v="18000"/>
    <n v="5"/>
    <x v="0"/>
    <n v="90000"/>
  </r>
  <r>
    <s v="ORD042"/>
    <x v="8"/>
    <x v="6"/>
    <x v="1"/>
    <n v="32000"/>
    <n v="1"/>
    <x v="2"/>
    <n v="32000"/>
  </r>
  <r>
    <s v="ORD043"/>
    <x v="8"/>
    <x v="2"/>
    <x v="0"/>
    <n v="25000"/>
    <n v="2"/>
    <x v="1"/>
    <n v="50000"/>
  </r>
  <r>
    <s v="ORD044"/>
    <x v="8"/>
    <x v="4"/>
    <x v="0"/>
    <n v="28000"/>
    <n v="2"/>
    <x v="0"/>
    <n v="56000"/>
  </r>
  <r>
    <s v="ORD045"/>
    <x v="8"/>
    <x v="7"/>
    <x v="0"/>
    <n v="22000"/>
    <n v="3"/>
    <x v="2"/>
    <n v="66000"/>
  </r>
  <r>
    <s v="ORD046"/>
    <x v="9"/>
    <x v="1"/>
    <x v="0"/>
    <n v="25000"/>
    <n v="4"/>
    <x v="0"/>
    <n v="100000"/>
  </r>
  <r>
    <s v="ORD047"/>
    <x v="9"/>
    <x v="3"/>
    <x v="1"/>
    <n v="20000"/>
    <n v="2"/>
    <x v="2"/>
    <n v="40000"/>
  </r>
  <r>
    <s v="ORD048"/>
    <x v="9"/>
    <x v="2"/>
    <x v="0"/>
    <n v="25000"/>
    <n v="2"/>
    <x v="0"/>
    <n v="50000"/>
  </r>
  <r>
    <s v="ORD049"/>
    <x v="9"/>
    <x v="5"/>
    <x v="1"/>
    <n v="22000"/>
    <n v="1"/>
    <x v="1"/>
    <n v="22000"/>
  </r>
  <r>
    <s v="ORD050"/>
    <x v="9"/>
    <x v="7"/>
    <x v="0"/>
    <n v="22000"/>
    <n v="3"/>
    <x v="0"/>
    <n v="6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74B3B3-BEBE-47E2-8582-4D9E542FF8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7:H10" firstHeaderRow="1" firstDataRow="1" firstDataCol="1"/>
  <pivotFields count="8">
    <pivotField showAll="0"/>
    <pivotField numFmtId="165" showAll="0">
      <items count="11">
        <item x="0"/>
        <item x="1"/>
        <item x="2"/>
        <item x="3"/>
        <item x="4"/>
        <item x="5"/>
        <item x="6"/>
        <item x="7"/>
        <item x="8"/>
        <item x="9"/>
        <item t="default"/>
      </items>
    </pivotField>
    <pivotField showAll="0"/>
    <pivotField axis="axisRow" showAll="0">
      <items count="3">
        <item x="1"/>
        <item x="0"/>
        <item t="default"/>
      </items>
    </pivotField>
    <pivotField numFmtId="164" showAll="0"/>
    <pivotField dataField="1" showAll="0"/>
    <pivotField showAll="0">
      <items count="4">
        <item x="2"/>
        <item x="0"/>
        <item x="1"/>
        <item t="default"/>
      </items>
    </pivotField>
    <pivotField numFmtId="164" showAll="0"/>
  </pivotFields>
  <rowFields count="1">
    <field x="3"/>
  </rowFields>
  <rowItems count="3">
    <i>
      <x/>
    </i>
    <i>
      <x v="1"/>
    </i>
    <i t="grand">
      <x/>
    </i>
  </rowItems>
  <colItems count="1">
    <i/>
  </colItems>
  <dataFields count="1">
    <dataField name="Average of jumlah_terjual" fld="5" subtotal="average" baseField="3" baseItem="0"/>
  </dataFields>
  <formats count="1">
    <format dxfId="83">
      <pivotArea collapsedLevelsAreSubtotals="1" fieldPosition="0">
        <references count="1">
          <reference field="3" count="0"/>
        </references>
      </pivotArea>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E560E2-CD55-430E-A5CE-DF9837E6C8EF}"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1:H4" firstHeaderRow="1" firstDataRow="1" firstDataCol="1"/>
  <pivotFields count="8">
    <pivotField showAll="0"/>
    <pivotField numFmtId="165" showAll="0">
      <items count="11">
        <item x="0"/>
        <item x="1"/>
        <item x="2"/>
        <item x="3"/>
        <item x="4"/>
        <item x="5"/>
        <item x="6"/>
        <item x="7"/>
        <item x="8"/>
        <item x="9"/>
        <item t="default"/>
      </items>
    </pivotField>
    <pivotField showAll="0"/>
    <pivotField axis="axisRow" showAll="0">
      <items count="3">
        <item x="1"/>
        <item x="0"/>
        <item t="default"/>
      </items>
    </pivotField>
    <pivotField numFmtId="164" showAll="0"/>
    <pivotField showAll="0"/>
    <pivotField showAll="0">
      <items count="4">
        <item x="2"/>
        <item x="0"/>
        <item x="1"/>
        <item t="default"/>
      </items>
    </pivotField>
    <pivotField dataField="1" numFmtId="164" showAll="0"/>
  </pivotFields>
  <rowFields count="1">
    <field x="3"/>
  </rowFields>
  <rowItems count="3">
    <i>
      <x/>
    </i>
    <i>
      <x v="1"/>
    </i>
    <i t="grand">
      <x/>
    </i>
  </rowItems>
  <colItems count="1">
    <i/>
  </colItems>
  <dataFields count="1">
    <dataField name="Average of nilai_transaksi" fld="7" subtotal="average" baseField="0" baseItem="1920052788"/>
  </dataFields>
  <formats count="2">
    <format dxfId="85">
      <pivotArea collapsedLevelsAreSubtotals="1" fieldPosition="0">
        <references count="1">
          <reference field="3" count="0"/>
        </references>
      </pivotArea>
    </format>
    <format dxfId="84">
      <pivotArea grandRow="1"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6A7F74-71B4-49A3-A519-CCD35D012813}"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D13:E22" firstHeaderRow="1" firstDataRow="1" firstDataCol="1"/>
  <pivotFields count="8">
    <pivotField showAll="0"/>
    <pivotField numFmtId="165" showAll="0">
      <items count="11">
        <item x="0"/>
        <item x="1"/>
        <item x="2"/>
        <item x="3"/>
        <item x="4"/>
        <item x="5"/>
        <item x="6"/>
        <item x="7"/>
        <item x="8"/>
        <item x="9"/>
        <item t="default"/>
      </items>
    </pivotField>
    <pivotField axis="axisRow" showAll="0" sortType="ascending">
      <items count="9">
        <item x="0"/>
        <item x="1"/>
        <item x="6"/>
        <item x="5"/>
        <item x="3"/>
        <item x="7"/>
        <item x="2"/>
        <item x="4"/>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showAll="0">
      <items count="4">
        <item x="2"/>
        <item x="0"/>
        <item x="1"/>
        <item t="default"/>
      </items>
    </pivotField>
    <pivotField dataField="1" numFmtId="164" showAll="0"/>
  </pivotFields>
  <rowFields count="1">
    <field x="2"/>
  </rowFields>
  <rowItems count="9">
    <i>
      <x v="3"/>
    </i>
    <i>
      <x v="4"/>
    </i>
    <i>
      <x v="2"/>
    </i>
    <i>
      <x v="1"/>
    </i>
    <i>
      <x v="7"/>
    </i>
    <i>
      <x/>
    </i>
    <i>
      <x v="6"/>
    </i>
    <i>
      <x v="5"/>
    </i>
    <i t="grand">
      <x/>
    </i>
  </rowItems>
  <colItems count="1">
    <i/>
  </colItems>
  <dataFields count="1">
    <dataField name="Sum of nilai_transaksi" fld="7" baseField="0" baseItem="0" numFmtId="164"/>
  </dataFields>
  <formats count="1">
    <format dxfId="86">
      <pivotArea outline="0" collapsedLevelsAreSubtotals="1" fieldPosition="0"/>
    </format>
  </formats>
  <chartFormats count="4">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D21C08-3B68-40AA-8ADE-3E903B1DF5B8}"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7:E10" firstHeaderRow="1" firstDataRow="1" firstDataCol="1"/>
  <pivotFields count="8">
    <pivotField showAll="0"/>
    <pivotField numFmtId="165" showAll="0">
      <items count="11">
        <item x="0"/>
        <item x="1"/>
        <item x="2"/>
        <item x="3"/>
        <item x="4"/>
        <item x="5"/>
        <item x="6"/>
        <item x="7"/>
        <item x="8"/>
        <item x="9"/>
        <item t="default"/>
      </items>
    </pivotField>
    <pivotField showAll="0"/>
    <pivotField axis="axisRow" showAll="0">
      <items count="3">
        <item x="1"/>
        <item x="0"/>
        <item t="default"/>
      </items>
    </pivotField>
    <pivotField numFmtId="164" showAll="0"/>
    <pivotField dataField="1" showAll="0"/>
    <pivotField showAll="0">
      <items count="4">
        <item x="2"/>
        <item x="0"/>
        <item x="1"/>
        <item t="default"/>
      </items>
    </pivotField>
    <pivotField numFmtId="164" showAll="0"/>
  </pivotFields>
  <rowFields count="1">
    <field x="3"/>
  </rowFields>
  <rowItems count="3">
    <i>
      <x/>
    </i>
    <i>
      <x v="1"/>
    </i>
    <i t="grand">
      <x/>
    </i>
  </rowItems>
  <colItems count="1">
    <i/>
  </colItems>
  <dataFields count="1">
    <dataField name="Sum of jumlah_terjual" fld="5" baseField="3" baseItem="0" numFmtId="1"/>
  </dataFields>
  <formats count="2">
    <format dxfId="88">
      <pivotArea collapsedLevelsAreSubtotals="1" fieldPosition="0">
        <references count="1">
          <reference field="3" count="0"/>
        </references>
      </pivotArea>
    </format>
    <format dxfId="8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408B42-FFE1-40A4-866B-3527BD80D5A9}"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13:B24" firstHeaderRow="1" firstDataRow="1" firstDataCol="1"/>
  <pivotFields count="8">
    <pivotField showAll="0"/>
    <pivotField axis="axisRow" numFmtId="165" showAll="0">
      <items count="11">
        <item x="0"/>
        <item x="1"/>
        <item x="2"/>
        <item x="3"/>
        <item x="4"/>
        <item x="5"/>
        <item x="6"/>
        <item x="7"/>
        <item x="8"/>
        <item x="9"/>
        <item t="default"/>
      </items>
    </pivotField>
    <pivotField showAll="0"/>
    <pivotField showAll="0"/>
    <pivotField numFmtId="164" showAll="0"/>
    <pivotField showAll="0"/>
    <pivotField showAll="0">
      <items count="4">
        <item x="2"/>
        <item x="0"/>
        <item x="1"/>
        <item t="default"/>
      </items>
    </pivotField>
    <pivotField dataField="1" numFmtId="164" showAll="0"/>
  </pivotFields>
  <rowFields count="1">
    <field x="1"/>
  </rowFields>
  <rowItems count="11">
    <i>
      <x/>
    </i>
    <i>
      <x v="1"/>
    </i>
    <i>
      <x v="2"/>
    </i>
    <i>
      <x v="3"/>
    </i>
    <i>
      <x v="4"/>
    </i>
    <i>
      <x v="5"/>
    </i>
    <i>
      <x v="6"/>
    </i>
    <i>
      <x v="7"/>
    </i>
    <i>
      <x v="8"/>
    </i>
    <i>
      <x v="9"/>
    </i>
    <i t="grand">
      <x/>
    </i>
  </rowItems>
  <colItems count="1">
    <i/>
  </colItems>
  <dataFields count="1">
    <dataField name="Sum of nilai_transaksi" fld="7" baseField="0" baseItem="0" numFmtId="164"/>
  </dataFields>
  <formats count="2">
    <format dxfId="90">
      <pivotArea outline="0" collapsedLevelsAreSubtotals="1" fieldPosition="0"/>
    </format>
    <format dxfId="89">
      <pivotArea dataOnly="0" labelOnly="1" fieldPosition="0">
        <references count="1">
          <reference field="1" count="0"/>
        </references>
      </pivotArea>
    </format>
  </formats>
  <chartFormats count="3">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139930-8EF3-4C08-BE62-0C09E68FEB3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1:E4" firstHeaderRow="1" firstDataRow="1" firstDataCol="1"/>
  <pivotFields count="8">
    <pivotField showAll="0"/>
    <pivotField numFmtId="165" showAll="0">
      <items count="11">
        <item x="0"/>
        <item x="1"/>
        <item x="2"/>
        <item x="3"/>
        <item x="4"/>
        <item x="5"/>
        <item x="6"/>
        <item x="7"/>
        <item x="8"/>
        <item x="9"/>
        <item t="default"/>
      </items>
    </pivotField>
    <pivotField showAll="0"/>
    <pivotField axis="axisRow" showAll="0">
      <items count="3">
        <item x="1"/>
        <item x="0"/>
        <item t="default"/>
      </items>
    </pivotField>
    <pivotField numFmtId="164" showAll="0"/>
    <pivotField showAll="0"/>
    <pivotField showAll="0">
      <items count="4">
        <item x="2"/>
        <item x="0"/>
        <item x="1"/>
        <item t="default"/>
      </items>
    </pivotField>
    <pivotField dataField="1" numFmtId="164" showAll="0"/>
  </pivotFields>
  <rowFields count="1">
    <field x="3"/>
  </rowFields>
  <rowItems count="3">
    <i>
      <x/>
    </i>
    <i>
      <x v="1"/>
    </i>
    <i t="grand">
      <x/>
    </i>
  </rowItems>
  <colItems count="1">
    <i/>
  </colItems>
  <dataFields count="1">
    <dataField name="Sum of nilai_transaksi" fld="7" baseField="3" baseItem="0"/>
  </dataFields>
  <formats count="2">
    <format dxfId="92">
      <pivotArea collapsedLevelsAreSubtotals="1" fieldPosition="0">
        <references count="1">
          <reference field="3" count="0"/>
        </references>
      </pivotArea>
    </format>
    <format dxfId="91">
      <pivotArea grandRow="1"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056A3F-23C5-4E7D-A003-C461BFD54207}"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J4:K8" firstHeaderRow="1" firstDataRow="1" firstDataCol="1"/>
  <pivotFields count="8">
    <pivotField dataField="1" showAll="0"/>
    <pivotField numFmtId="165" showAll="0">
      <items count="11">
        <item x="0"/>
        <item x="1"/>
        <item x="2"/>
        <item x="3"/>
        <item x="4"/>
        <item x="5"/>
        <item x="6"/>
        <item x="7"/>
        <item x="8"/>
        <item x="9"/>
        <item t="default"/>
      </items>
    </pivotField>
    <pivotField showAll="0"/>
    <pivotField showAll="0"/>
    <pivotField numFmtId="164" showAll="0"/>
    <pivotField showAll="0"/>
    <pivotField axis="axisRow" showAll="0">
      <items count="4">
        <item x="2"/>
        <item x="0"/>
        <item x="1"/>
        <item t="default"/>
      </items>
    </pivotField>
    <pivotField numFmtId="164" showAll="0"/>
  </pivotFields>
  <rowFields count="1">
    <field x="6"/>
  </rowFields>
  <rowItems count="4">
    <i>
      <x/>
    </i>
    <i>
      <x v="1"/>
    </i>
    <i>
      <x v="2"/>
    </i>
    <i t="grand">
      <x/>
    </i>
  </rowItems>
  <colItems count="1">
    <i/>
  </colItems>
  <dataFields count="1">
    <dataField name="Count of order_id" fld="0" subtotal="count" baseField="0" baseItem="0"/>
  </dataFields>
  <formats count="1">
    <format dxfId="93">
      <pivotArea grandRow="1"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CF5101-5918-4C3B-979A-BF4704F629BD}"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B10" firstHeaderRow="1" firstDataRow="1" firstDataCol="1"/>
  <pivotFields count="8">
    <pivotField showAll="0"/>
    <pivotField numFmtId="165" showAll="0">
      <items count="11">
        <item x="0"/>
        <item x="1"/>
        <item x="2"/>
        <item x="3"/>
        <item x="4"/>
        <item x="5"/>
        <item x="6"/>
        <item x="7"/>
        <item x="8"/>
        <item x="9"/>
        <item t="default"/>
      </items>
    </pivotField>
    <pivotField axis="axisRow" showAll="0" sortType="ascending">
      <items count="9">
        <item x="0"/>
        <item x="1"/>
        <item x="6"/>
        <item x="5"/>
        <item x="3"/>
        <item x="7"/>
        <item x="2"/>
        <item x="4"/>
        <item t="default"/>
      </items>
      <autoSortScope>
        <pivotArea dataOnly="0" outline="0" fieldPosition="0">
          <references count="1">
            <reference field="4294967294" count="1" selected="0">
              <x v="0"/>
            </reference>
          </references>
        </pivotArea>
      </autoSortScope>
    </pivotField>
    <pivotField showAll="0"/>
    <pivotField numFmtId="164" showAll="0"/>
    <pivotField dataField="1" showAll="0"/>
    <pivotField showAll="0">
      <items count="4">
        <item x="2"/>
        <item x="0"/>
        <item x="1"/>
        <item t="default"/>
      </items>
    </pivotField>
    <pivotField numFmtId="164" showAll="0"/>
  </pivotFields>
  <rowFields count="1">
    <field x="2"/>
  </rowFields>
  <rowItems count="9">
    <i>
      <x v="3"/>
    </i>
    <i>
      <x v="2"/>
    </i>
    <i>
      <x v="7"/>
    </i>
    <i>
      <x v="1"/>
    </i>
    <i>
      <x v="4"/>
    </i>
    <i>
      <x v="6"/>
    </i>
    <i>
      <x/>
    </i>
    <i>
      <x v="5"/>
    </i>
    <i t="grand">
      <x/>
    </i>
  </rowItems>
  <colItems count="1">
    <i/>
  </colItems>
  <dataFields count="1">
    <dataField name="Sum of jumlah_terjual" fld="5" baseField="2" baseItem="0"/>
  </dataFields>
  <chartFormats count="2">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nggal" xr10:uid="{0E93A8A9-C71C-461F-A589-07D20D55F397}" sourceName="tanggal">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9"/>
  </pivotTables>
  <data>
    <tabular pivotCacheId="959282179">
      <items count="10">
        <i x="0" s="1"/>
        <i x="1" s="1"/>
        <i x="2" s="1"/>
        <i x="3" s="1"/>
        <i x="4" s="1"/>
        <i x="5" s="1"/>
        <i x="6" s="1"/>
        <i x="7"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ode_pembayaran" xr10:uid="{24A4D78A-AA00-481B-98BB-BE6E312AF3E3}" sourceName="metode_pembayaran">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9"/>
  </pivotTables>
  <data>
    <tabular pivotCacheId="95928217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nggal" xr10:uid="{76A41332-9859-4A62-A971-9DCD84F6FA62}" cache="Slicer_tanggal" caption="tanggal" startItem="4" style="Kopi" rowHeight="234950"/>
  <slicer name="metode_pembayaran" xr10:uid="{3C61EA40-4487-47D6-8938-354A8E14FD50}" cache="Slicer_metode_pembayaran" caption="metode_pembayaran" style="Kopi"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62FD5BD-C0FD-4C03-90A5-96090E66CDA3}" name="Table1" displayName="Table1" ref="A4:B7" totalsRowShown="0" headerRowDxfId="1" dataDxfId="0" headerRowBorderDxfId="25" tableBorderDxfId="26" totalsRowBorderDxfId="24" headerRowCellStyle="Normal 2">
  <tableColumns count="2">
    <tableColumn id="1" xr3:uid="{B383A504-A6BF-4FAA-9FAF-C424E8916F78}" name="Keterangan" dataDxfId="3" dataCellStyle="Normal 2"/>
    <tableColumn id="2" xr3:uid="{99016240-4E9D-4A88-A2F7-4889B1EAA3DD}" name="Jumlah" dataDxfId="2"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B0F2E53-D24D-4DE2-AD4A-03EF9CEB6C0D}" name="Table27" displayName="Table27" ref="A10:H21" totalsRowShown="0" headerRowDxfId="23" dataDxfId="22" headerRowBorderDxfId="20" tableBorderDxfId="21" totalsRowBorderDxfId="19" headerRowCellStyle="Normal 2" dataCellStyle="Normal 2">
  <tableColumns count="8">
    <tableColumn id="1" xr3:uid="{06477362-F6A6-43F7-B4B5-45B79F94F3A2}" name="No" dataDxfId="18" dataCellStyle="Normal 2"/>
    <tableColumn id="2" xr3:uid="{C49E30F4-922F-466B-A43D-8A38721E2094}" name="Kolom" dataDxfId="17" dataCellStyle="Normal 2"/>
    <tableColumn id="3" xr3:uid="{8721D0AE-8AFD-4E52-B23D-606995225DA9}" name="Masalah" dataDxfId="16" dataCellStyle="Normal 2"/>
    <tableColumn id="4" xr3:uid="{4ACA9FBD-6292-4C3A-AA05-D8DFE6141AA8}" name="Jumlah" dataDxfId="15" dataCellStyle="Normal 2"/>
    <tableColumn id="5" xr3:uid="{D8C2E810-5BBA-481C-99F4-1031F8127829}" name="sebelum -&gt; sesudah" dataDxfId="14" dataCellStyle="Normal 2"/>
    <tableColumn id="6" xr3:uid="{3521876A-DAD5-4DB1-991F-23BAC3EC088A}" name="Tindakan" dataDxfId="13" dataCellStyle="Normal 2"/>
    <tableColumn id="7" xr3:uid="{8A0F0C7D-9D0A-4616-9EE9-49D7B7882F2F}" name="Alat Excel" dataDxfId="12" dataCellStyle="Normal 2"/>
    <tableColumn id="8" xr3:uid="{9D751B65-471C-47E6-B93B-A451F759E523}" name="Dasar Keputusan" dataDxfId="11"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AA21A5F-DCE4-4FD9-A7E9-C9C212FC6047}" name="Table315" displayName="Table315" ref="A24:C35" totalsRowShown="0" headerRowDxfId="10" headerRowBorderDxfId="8" tableBorderDxfId="9" totalsRowBorderDxfId="7" headerRowCellStyle="Normal 2">
  <tableColumns count="3">
    <tableColumn id="1" xr3:uid="{043E3AC3-2A11-4774-B101-30B7A0658BE5}" name="Kolom" dataDxfId="6" dataCellStyle="Normal 2"/>
    <tableColumn id="2" xr3:uid="{DB1CFE93-9DE1-496B-840E-9507880FE0E8}" name="Nilai Kotor" dataDxfId="5" dataCellStyle="Normal 2"/>
    <tableColumn id="3" xr3:uid="{17F7FF10-58A4-436A-8A94-E7094C901C09}" name="Nilai Baku" dataDxfId="4" dataCellStyle="Normal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755AD8-B8C6-4E5C-B91B-6FE88BF651DE}" name="Table_Penjualan" displayName="Table_Penjualan" ref="A3:H53" totalsRowShown="0" headerRowDxfId="119">
  <autoFilter ref="A3:H53" xr:uid="{84755AD8-B8C6-4E5C-B91B-6FE88BF651DE}"/>
  <tableColumns count="8">
    <tableColumn id="1" xr3:uid="{F8FE5CCB-FA4A-410B-99E9-1B74B9C2B2A2}" name="order_id" dataDxfId="118"/>
    <tableColumn id="2" xr3:uid="{6C87AA6E-C84E-47EA-9856-6E41252F26CB}" name="tanggal" dataDxfId="117"/>
    <tableColumn id="3" xr3:uid="{73A21607-6578-4E98-96C1-FA21D5D5A93E}" name="nama_menu"/>
    <tableColumn id="4" xr3:uid="{9E7F6B7D-26BB-4D23-A32A-E34776939283}" name="kategori"/>
    <tableColumn id="5" xr3:uid="{6B16A1B2-E30E-4920-A884-123E918D4873}" name="harga_satuan" dataDxfId="116"/>
    <tableColumn id="6" xr3:uid="{7D3E554E-ED07-4129-845F-65C803384CAD}" name="jumlah_terjual" dataDxfId="115"/>
    <tableColumn id="7" xr3:uid="{181C617B-D120-4545-813D-8B77DAF521D1}" name="metode_pembayaran" dataDxfId="114"/>
    <tableColumn id="8" xr3:uid="{B2DCCCE4-1FD2-45ED-B4BD-6DBD2CC7C123}" name="nilai_transaksi" dataDxfId="113">
      <calculatedColumnFormula>E4*F4</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9256BE-A19C-48E7-9D9C-5816237F0390}" name="Table2" displayName="Table2" ref="J3:L8" totalsRowCount="1" headerRowDxfId="112" totalsRowDxfId="109" headerRowBorderDxfId="111" tableBorderDxfId="110" totalsRowBorderDxfId="108">
  <tableColumns count="3">
    <tableColumn id="1" xr3:uid="{414BFB58-AA63-4AD2-9478-5D39363BB878}" name="Kategori" totalsRowLabel="Total" totalsRowDxfId="107"/>
    <tableColumn id="2" xr3:uid="{8EAC0671-BC00-429B-B6DE-B5E730C0597C}" name="Makanan" totalsRowFunction="custom" dataDxfId="106" totalsRowDxfId="105">
      <totalsRowFormula>SUMIF(D4:D53, "Makanan", H4:H53)</totalsRowFormula>
    </tableColumn>
    <tableColumn id="3" xr3:uid="{9A0E16ED-C118-486A-ACB4-FCBA1E2C0212}" name="Minuman" totalsRowFunction="custom" dataDxfId="104" totalsRowDxfId="103">
      <totalsRowFormula>SUMIF(D4:D53, "Minuman", H4:H53)</totalsRow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3231B33-FFA0-4EFB-9D23-764CE0D01DA5}" name="Table4" displayName="Table4" ref="N3:O6" totalsRowShown="0" headerRowDxfId="102" headerRowBorderDxfId="101" tableBorderDxfId="100" totalsRowBorderDxfId="99">
  <tableColumns count="2">
    <tableColumn id="1" xr3:uid="{369968AF-B6CF-4A57-B463-84A3F324DF3C}" name="Kategori" dataDxfId="98"/>
    <tableColumn id="2" xr3:uid="{3D8BF83A-BA75-4FF5-923E-F607794E3774}" name="Nilai Transaksi" dataDxfId="9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2703DA7-0E70-485B-BCF1-F2547E8DFC5F}" name="Table16" displayName="Table16" ref="N10:O13" totalsRowShown="0" headerRowDxfId="96" headerRowBorderDxfId="95" tableBorderDxfId="94">
  <tableColumns count="2">
    <tableColumn id="1" xr3:uid="{35C2EC3C-B01C-4B18-9FCC-4993BCA2F0A1}" name="Kategori"/>
    <tableColumn id="2" xr3:uid="{03082787-5B95-4A2F-9871-FEC96194C79E}" name="Nilai Uni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C3F9945-8DAD-4FA7-A533-FBEB1827C019}" name="Table12" displayName="Table12" ref="A3:C6" totalsRowShown="0" headerRowDxfId="82" dataDxfId="81">
  <tableColumns count="3">
    <tableColumn id="1" xr3:uid="{EB654EA0-BF26-4AA0-90CF-4E49BC33CDF8}" name="No" dataDxfId="80"/>
    <tableColumn id="2" xr3:uid="{A0AB2D48-AEF7-459B-A8DD-0E43877D2DEC}" name="Pertanyaan Bisnis" dataDxfId="79"/>
    <tableColumn id="3" xr3:uid="{F038965A-A707-4A8C-913C-33610B0A272E}" name="Jawaban" dataDxfId="7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0E4DF6B-AC9D-4852-B071-F690B53856AD}" name="Table1214" displayName="Table1214" ref="A11:C17" totalsRowShown="0" headerRowDxfId="58" dataDxfId="57">
  <tableColumns count="3">
    <tableColumn id="1" xr3:uid="{E074270B-E49A-47B9-B49E-66AD2AB5B2F4}" name="No" dataDxfId="61"/>
    <tableColumn id="2" xr3:uid="{384DA693-1624-4D42-900F-7C12E708E30A}" name="Temuan Data (Insight)" dataDxfId="60"/>
    <tableColumn id="3" xr3:uid="{976C5065-1234-4A6B-8BEF-E18542270CAF}" name="Rekomendasi Aksi (Action Plan)" dataDxfId="5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FAE22C4-446B-4A13-A1CD-0DB87E8C10A0}" name="Table7" displayName="Table7" ref="A2:D5" totalsRowShown="0" dataDxfId="27">
  <tableColumns count="4">
    <tableColumn id="1" xr3:uid="{F755DA5B-2F83-4385-BCC6-AD508E78DB3A}" name="No" dataDxfId="31"/>
    <tableColumn id="2" xr3:uid="{8C7CC80E-A128-427F-BD1D-2BACBA719C93}" name="Tujuan/Kasus" dataDxfId="30"/>
    <tableColumn id="3" xr3:uid="{F1B4465F-FE60-4FF7-B84A-D385948C37B0}" name="Rumus Excel" dataDxfId="29"/>
    <tableColumn id="4" xr3:uid="{E32FFBC9-7F4D-4672-8A93-DD6EEA3046C8}" name="Penjelasan Singkat" dataDxfId="28"/>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D6DB6B6-FE1D-41FB-A522-2B62CD7C9B8B}" name="Table79" displayName="Table79" ref="A9:D14" totalsRowShown="0" headerRowDxfId="77" dataDxfId="32">
  <tableColumns count="4">
    <tableColumn id="1" xr3:uid="{36FDD706-320A-4AF4-9DDB-14628E07A8C6}" name="No" dataDxfId="36"/>
    <tableColumn id="2" xr3:uid="{259F1008-7A90-4BC6-A8CF-3EC2792378BE}" name="Tujuan/Kasus" dataDxfId="35"/>
    <tableColumn id="3" xr3:uid="{75772802-8B13-4D98-A130-1B1DB609A539}" name="Rumus Excel" dataDxfId="34"/>
    <tableColumn id="4" xr3:uid="{F29DA025-DBE7-4483-84CB-CEED80B7283F}" name="Penjelasan Singkat" dataDxfId="3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4D75F84-B8C0-48AC-A1B4-291BA76FEB55}" name="Table9" displayName="Table9" ref="A18:D22" totalsRowShown="0" headerRowDxfId="76" dataDxfId="37" headerRowBorderDxfId="75" tableBorderDxfId="74" totalsRowBorderDxfId="73">
  <tableColumns count="4">
    <tableColumn id="1" xr3:uid="{625B4CEF-1E36-4695-8BA9-FA81F4574EBE}" name="No" dataDxfId="41"/>
    <tableColumn id="2" xr3:uid="{C999B219-67E3-4A4F-8146-2F3228023EC0}" name="Tujuan/Kasus" dataDxfId="40"/>
    <tableColumn id="3" xr3:uid="{7BEBD530-1C27-4A06-B9C4-4750E9600B1D}" name="Rumus Excel" dataDxfId="39"/>
    <tableColumn id="4" xr3:uid="{FDD7E416-9455-4BB4-9E28-158698304E8A}" name="Penjelasan Singkat" dataDxfId="38"/>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D3EB2AF-BFFE-43D6-AAA3-75CDA71579F1}" name="Table10" displayName="Table10" ref="A26:D31" totalsRowShown="0" headerRowDxfId="72" dataDxfId="42" headerRowBorderDxfId="71" tableBorderDxfId="70">
  <tableColumns count="4">
    <tableColumn id="1" xr3:uid="{3E335885-447E-43F5-AE72-08BEF8FA6E7F}" name="No" dataDxfId="46"/>
    <tableColumn id="2" xr3:uid="{F3D3347C-AE9F-4B5D-8892-43B69E298AFE}" name="Tujuan/Kasus" dataDxfId="45"/>
    <tableColumn id="3" xr3:uid="{55F3CDC3-7757-45F3-A3EF-5EA9942A1B50}" name="Rumus Excel" dataDxfId="44"/>
    <tableColumn id="4" xr3:uid="{C58994CB-6CD9-4EAF-A7EA-6BEB7B73571A}" name="Penjelasan Singkat" dataDxfId="43"/>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B43984E-C349-413A-9BFB-A7F32F00FFF1}" name="Table11" displayName="Table11" ref="A35:D39" totalsRowShown="0" headerRowDxfId="69" dataDxfId="47" headerRowBorderDxfId="68" tableBorderDxfId="67" totalsRowBorderDxfId="66">
  <tableColumns count="4">
    <tableColumn id="1" xr3:uid="{29351D3F-CA74-4483-8825-DBF8EC540217}" name="No" dataDxfId="51"/>
    <tableColumn id="2" xr3:uid="{A1DEA393-6C32-4DDD-9410-B141231A2055}" name="Tujuan/Kasus" dataDxfId="50"/>
    <tableColumn id="3" xr3:uid="{A80EEEA2-1401-487A-8432-AE1D5043050C}" name="Rumus Excel" dataDxfId="49"/>
    <tableColumn id="4" xr3:uid="{01BF720C-419F-44FE-8980-2242B99E4B1F}" name="Penjelasan Singkat" dataDxfId="48"/>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8AC7E4-A225-40B6-A5D6-F5E902BF1042}" name="Table3" displayName="Table3" ref="A43:D46" totalsRowShown="0" headerRowDxfId="65" dataDxfId="52" headerRowBorderDxfId="64" tableBorderDxfId="63" totalsRowBorderDxfId="62">
  <tableColumns count="4">
    <tableColumn id="1" xr3:uid="{D52A48B7-CEB1-4758-9337-93886774715A}" name="No" dataDxfId="56"/>
    <tableColumn id="2" xr3:uid="{F91F694C-1E9C-43CA-9D38-C2D4125CF031}" name="Tujuan/Kasus" dataDxfId="55"/>
    <tableColumn id="3" xr3:uid="{1EC3C06F-3680-4E64-943C-9ACFC92F7D7F}" name="Rumus Excel" dataDxfId="54"/>
    <tableColumn id="4" xr3:uid="{5BD2B065-EDE6-4698-BC9E-106DBEB82066}" name="Penjelasan Singkat" dataDxfId="5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1.bin"/><Relationship Id="rId5" Type="http://schemas.openxmlformats.org/officeDocument/2006/relationships/table" Target="../tables/table7.xml"/><Relationship Id="rId4" Type="http://schemas.openxmlformats.org/officeDocument/2006/relationships/table" Target="../tables/table6.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 Id="rId6" Type="http://schemas.openxmlformats.org/officeDocument/2006/relationships/table" Target="../tables/table15.xml"/><Relationship Id="rId5" Type="http://schemas.openxmlformats.org/officeDocument/2006/relationships/table" Target="../tables/table14.xml"/><Relationship Id="rId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D0F62-F9BB-4438-8550-1AD2D62BE4A8}">
  <dimension ref="A1:A7"/>
  <sheetViews>
    <sheetView workbookViewId="0"/>
  </sheetViews>
  <sheetFormatPr defaultRowHeight="14.4" x14ac:dyDescent="0.3"/>
  <sheetData>
    <row r="1" spans="1:1" x14ac:dyDescent="0.3">
      <c r="A1" t="s">
        <v>70</v>
      </c>
    </row>
    <row r="2" spans="1:1" x14ac:dyDescent="0.3">
      <c r="A2" t="s">
        <v>71</v>
      </c>
    </row>
    <row r="3" spans="1:1" x14ac:dyDescent="0.3">
      <c r="A3" t="s">
        <v>72</v>
      </c>
    </row>
    <row r="4" spans="1:1" x14ac:dyDescent="0.3">
      <c r="A4" t="s">
        <v>73</v>
      </c>
    </row>
    <row r="5" spans="1:1" x14ac:dyDescent="0.3">
      <c r="A5" t="s">
        <v>140</v>
      </c>
    </row>
    <row r="6" spans="1:1" x14ac:dyDescent="0.3">
      <c r="A6" t="s">
        <v>74</v>
      </c>
    </row>
    <row r="7" spans="1:1" x14ac:dyDescent="0.3">
      <c r="A7" t="s">
        <v>139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19EBF-F1C3-4EF3-BCE0-BBBE41B287AC}">
  <dimension ref="A1:G54"/>
  <sheetViews>
    <sheetView zoomScaleNormal="100" workbookViewId="0">
      <pane ySplit="1" topLeftCell="A2" activePane="bottomLeft" state="frozen"/>
      <selection pane="bottomLeft" activeCell="C16" sqref="C16"/>
    </sheetView>
  </sheetViews>
  <sheetFormatPr defaultColWidth="8.6640625" defaultRowHeight="14.4" x14ac:dyDescent="0.3"/>
  <cols>
    <col min="1" max="1" width="12" style="74" customWidth="1"/>
    <col min="2" max="2" width="14" style="74" customWidth="1"/>
    <col min="3" max="3" width="20" style="74" customWidth="1"/>
    <col min="4" max="4" width="12" style="74" customWidth="1"/>
    <col min="5" max="5" width="14" style="74" customWidth="1"/>
    <col min="6" max="6" width="16" style="74" customWidth="1"/>
    <col min="7" max="7" width="20" style="74" customWidth="1"/>
    <col min="8" max="16384" width="8.6640625" style="74"/>
  </cols>
  <sheetData>
    <row r="1" spans="1:7" x14ac:dyDescent="0.3">
      <c r="A1" s="77" t="s">
        <v>0</v>
      </c>
      <c r="B1" s="77" t="s">
        <v>1</v>
      </c>
      <c r="C1" s="77" t="s">
        <v>2</v>
      </c>
      <c r="D1" s="77" t="s">
        <v>3</v>
      </c>
      <c r="E1" s="77" t="s">
        <v>4</v>
      </c>
      <c r="F1" s="77" t="s">
        <v>5</v>
      </c>
      <c r="G1" s="77" t="s">
        <v>6</v>
      </c>
    </row>
    <row r="2" spans="1:7" x14ac:dyDescent="0.3">
      <c r="A2" s="75" t="s">
        <v>7</v>
      </c>
      <c r="B2" s="76">
        <v>46296</v>
      </c>
      <c r="C2" s="75" t="s">
        <v>8</v>
      </c>
      <c r="D2" s="75" t="s">
        <v>9</v>
      </c>
      <c r="E2" s="75" t="s">
        <v>182</v>
      </c>
      <c r="F2" s="75">
        <v>2</v>
      </c>
      <c r="G2" s="75" t="s">
        <v>181</v>
      </c>
    </row>
    <row r="3" spans="1:7" x14ac:dyDescent="0.3">
      <c r="A3" s="75" t="s">
        <v>11</v>
      </c>
      <c r="B3" s="76">
        <v>46296</v>
      </c>
      <c r="C3" s="75" t="s">
        <v>12</v>
      </c>
      <c r="D3" s="75" t="s">
        <v>155</v>
      </c>
      <c r="E3" s="75">
        <v>25000</v>
      </c>
      <c r="F3" s="75">
        <v>1</v>
      </c>
      <c r="G3" s="75" t="s">
        <v>180</v>
      </c>
    </row>
    <row r="4" spans="1:7" x14ac:dyDescent="0.3">
      <c r="A4" s="75" t="s">
        <v>14</v>
      </c>
      <c r="B4" s="76">
        <v>46296</v>
      </c>
      <c r="C4" s="75" t="s">
        <v>179</v>
      </c>
      <c r="D4" s="75" t="s">
        <v>9</v>
      </c>
      <c r="E4" s="75">
        <v>25000</v>
      </c>
      <c r="F4" s="75">
        <v>3</v>
      </c>
      <c r="G4" s="75" t="s">
        <v>178</v>
      </c>
    </row>
    <row r="5" spans="1:7" x14ac:dyDescent="0.3">
      <c r="A5" s="75" t="s">
        <v>17</v>
      </c>
      <c r="B5" s="76">
        <v>46296</v>
      </c>
      <c r="C5" s="75" t="s">
        <v>177</v>
      </c>
      <c r="D5" s="75" t="s">
        <v>19</v>
      </c>
      <c r="E5" s="75">
        <v>20000</v>
      </c>
      <c r="F5" s="75">
        <v>2</v>
      </c>
      <c r="G5" s="75" t="s">
        <v>176</v>
      </c>
    </row>
    <row r="6" spans="1:7" x14ac:dyDescent="0.3">
      <c r="A6" s="75" t="s">
        <v>20</v>
      </c>
      <c r="B6" s="76">
        <v>46296</v>
      </c>
      <c r="C6" s="75" t="s">
        <v>175</v>
      </c>
      <c r="D6" s="75" t="s">
        <v>9</v>
      </c>
      <c r="E6" s="75">
        <v>28000</v>
      </c>
      <c r="F6" s="75">
        <v>2</v>
      </c>
      <c r="G6" s="75" t="s">
        <v>16</v>
      </c>
    </row>
    <row r="7" spans="1:7" x14ac:dyDescent="0.3">
      <c r="A7" s="75" t="s">
        <v>22</v>
      </c>
      <c r="B7" s="76">
        <v>46297</v>
      </c>
      <c r="C7" s="75" t="s">
        <v>174</v>
      </c>
      <c r="D7" s="75" t="s">
        <v>9</v>
      </c>
      <c r="E7" s="75">
        <v>18000</v>
      </c>
      <c r="F7" s="75">
        <v>4</v>
      </c>
      <c r="G7" s="75" t="s">
        <v>13</v>
      </c>
    </row>
    <row r="8" spans="1:7" x14ac:dyDescent="0.3">
      <c r="A8" s="75" t="s">
        <v>23</v>
      </c>
      <c r="B8" s="76">
        <v>46297</v>
      </c>
      <c r="C8" s="75" t="s">
        <v>24</v>
      </c>
      <c r="D8" s="75" t="s">
        <v>173</v>
      </c>
      <c r="E8" s="75">
        <v>22000</v>
      </c>
      <c r="F8" s="75">
        <v>1</v>
      </c>
      <c r="G8" s="75" t="s">
        <v>10</v>
      </c>
    </row>
    <row r="9" spans="1:7" x14ac:dyDescent="0.3">
      <c r="A9" s="75" t="s">
        <v>23</v>
      </c>
      <c r="B9" s="76">
        <v>46297</v>
      </c>
      <c r="C9" s="75" t="s">
        <v>24</v>
      </c>
      <c r="D9" s="75" t="s">
        <v>173</v>
      </c>
      <c r="E9" s="75">
        <v>22000</v>
      </c>
      <c r="F9" s="75">
        <v>1</v>
      </c>
      <c r="G9" s="75" t="s">
        <v>10</v>
      </c>
    </row>
    <row r="10" spans="1:7" x14ac:dyDescent="0.3">
      <c r="A10" s="75" t="s">
        <v>25</v>
      </c>
      <c r="B10" s="76">
        <v>46297</v>
      </c>
      <c r="C10" s="75" t="s">
        <v>172</v>
      </c>
      <c r="D10" s="75" t="s">
        <v>9</v>
      </c>
      <c r="E10" s="75">
        <v>25000</v>
      </c>
      <c r="F10" s="75">
        <v>2</v>
      </c>
      <c r="G10" s="75" t="s">
        <v>10</v>
      </c>
    </row>
    <row r="11" spans="1:7" x14ac:dyDescent="0.3">
      <c r="A11" s="75" t="s">
        <v>26</v>
      </c>
      <c r="B11" s="76">
        <v>46297</v>
      </c>
      <c r="C11" s="75" t="s">
        <v>171</v>
      </c>
      <c r="D11" s="75" t="s">
        <v>19</v>
      </c>
      <c r="E11" s="75">
        <v>32000</v>
      </c>
      <c r="F11" s="75">
        <v>2</v>
      </c>
      <c r="G11" s="75" t="s">
        <v>170</v>
      </c>
    </row>
    <row r="12" spans="1:7" x14ac:dyDescent="0.3">
      <c r="A12" s="75" t="s">
        <v>28</v>
      </c>
      <c r="B12" s="76">
        <v>46297</v>
      </c>
      <c r="C12" s="75" t="s">
        <v>169</v>
      </c>
      <c r="D12" s="75" t="s">
        <v>9</v>
      </c>
      <c r="E12" s="75" t="s">
        <v>168</v>
      </c>
      <c r="F12" s="75">
        <v>5</v>
      </c>
      <c r="G12" s="75" t="s">
        <v>10</v>
      </c>
    </row>
    <row r="13" spans="1:7" x14ac:dyDescent="0.3">
      <c r="A13" s="75" t="s">
        <v>30</v>
      </c>
      <c r="B13" s="76">
        <v>46298</v>
      </c>
      <c r="C13" s="75" t="s">
        <v>167</v>
      </c>
      <c r="D13" s="75" t="s">
        <v>9</v>
      </c>
      <c r="E13" s="75">
        <v>25000</v>
      </c>
      <c r="F13" s="75">
        <v>2</v>
      </c>
      <c r="G13" s="75" t="s">
        <v>16</v>
      </c>
    </row>
    <row r="14" spans="1:7" x14ac:dyDescent="0.3">
      <c r="A14" s="75" t="s">
        <v>31</v>
      </c>
      <c r="B14" s="76">
        <v>46298</v>
      </c>
      <c r="C14" s="75" t="s">
        <v>18</v>
      </c>
      <c r="D14" s="75" t="s">
        <v>166</v>
      </c>
      <c r="E14" s="75">
        <v>20000</v>
      </c>
      <c r="F14" s="75">
        <v>3</v>
      </c>
      <c r="G14" s="75" t="s">
        <v>165</v>
      </c>
    </row>
    <row r="15" spans="1:7" x14ac:dyDescent="0.3">
      <c r="A15" s="75" t="s">
        <v>32</v>
      </c>
      <c r="B15" s="75" t="s">
        <v>164</v>
      </c>
      <c r="C15" s="75" t="s">
        <v>163</v>
      </c>
      <c r="D15" s="75" t="s">
        <v>9</v>
      </c>
      <c r="E15" s="75">
        <v>18000</v>
      </c>
      <c r="F15" s="75">
        <v>3</v>
      </c>
      <c r="G15" s="75" t="s">
        <v>10</v>
      </c>
    </row>
    <row r="16" spans="1:7" x14ac:dyDescent="0.3">
      <c r="A16" s="75" t="s">
        <v>33</v>
      </c>
      <c r="B16" s="76">
        <v>46298</v>
      </c>
      <c r="C16" s="75" t="s">
        <v>162</v>
      </c>
      <c r="D16" s="75" t="s">
        <v>9</v>
      </c>
      <c r="E16" s="75">
        <v>28000</v>
      </c>
      <c r="F16" s="75">
        <v>1</v>
      </c>
      <c r="G16" s="75" t="s">
        <v>13</v>
      </c>
    </row>
    <row r="17" spans="1:7" x14ac:dyDescent="0.3">
      <c r="A17" s="75" t="s">
        <v>34</v>
      </c>
      <c r="B17" s="76">
        <v>46298</v>
      </c>
      <c r="C17" s="75" t="s">
        <v>27</v>
      </c>
      <c r="D17" s="75" t="s">
        <v>19</v>
      </c>
      <c r="E17" s="75">
        <v>32000</v>
      </c>
      <c r="F17" s="75">
        <v>1</v>
      </c>
      <c r="G17" s="75" t="s">
        <v>10</v>
      </c>
    </row>
    <row r="18" spans="1:7" x14ac:dyDescent="0.3">
      <c r="A18" s="75" t="s">
        <v>35</v>
      </c>
      <c r="B18" s="76">
        <v>46299</v>
      </c>
      <c r="C18" s="75" t="s">
        <v>161</v>
      </c>
      <c r="D18" s="75" t="s">
        <v>9</v>
      </c>
      <c r="E18" s="75">
        <v>25000</v>
      </c>
      <c r="F18" s="75">
        <v>4</v>
      </c>
      <c r="G18" s="75" t="s">
        <v>10</v>
      </c>
    </row>
    <row r="19" spans="1:7" x14ac:dyDescent="0.3">
      <c r="A19" s="75" t="s">
        <v>36</v>
      </c>
      <c r="B19" s="76">
        <v>46299</v>
      </c>
      <c r="C19" s="75" t="s">
        <v>160</v>
      </c>
      <c r="D19" s="75" t="s">
        <v>9</v>
      </c>
      <c r="E19" s="75">
        <v>22000</v>
      </c>
      <c r="F19" s="75">
        <v>3</v>
      </c>
      <c r="G19" s="75" t="s">
        <v>16</v>
      </c>
    </row>
    <row r="20" spans="1:7" x14ac:dyDescent="0.3">
      <c r="A20" s="75" t="s">
        <v>37</v>
      </c>
      <c r="B20" s="76">
        <v>46299</v>
      </c>
      <c r="C20" s="75" t="s">
        <v>24</v>
      </c>
      <c r="D20" s="75" t="s">
        <v>19</v>
      </c>
      <c r="E20" s="75">
        <v>22000</v>
      </c>
      <c r="F20" s="75" t="s">
        <v>212</v>
      </c>
      <c r="G20" s="75" t="s">
        <v>13</v>
      </c>
    </row>
    <row r="21" spans="1:7" x14ac:dyDescent="0.3">
      <c r="A21" s="75" t="s">
        <v>38</v>
      </c>
      <c r="B21" s="76">
        <v>46299</v>
      </c>
      <c r="C21" s="75" t="s">
        <v>8</v>
      </c>
      <c r="D21" s="75" t="s">
        <v>159</v>
      </c>
      <c r="E21" s="75">
        <v>18000</v>
      </c>
      <c r="F21" s="75">
        <v>2</v>
      </c>
      <c r="G21" s="75" t="s">
        <v>16</v>
      </c>
    </row>
    <row r="22" spans="1:7" x14ac:dyDescent="0.3">
      <c r="A22" s="75" t="s">
        <v>39</v>
      </c>
      <c r="B22" s="75" t="s">
        <v>158</v>
      </c>
      <c r="C22" s="75" t="s">
        <v>21</v>
      </c>
      <c r="D22" s="75" t="s">
        <v>9</v>
      </c>
      <c r="E22" s="75">
        <v>28000</v>
      </c>
      <c r="F22" s="75">
        <v>2</v>
      </c>
      <c r="G22" s="75" t="s">
        <v>10</v>
      </c>
    </row>
    <row r="23" spans="1:7" x14ac:dyDescent="0.3">
      <c r="A23" s="75" t="s">
        <v>40</v>
      </c>
      <c r="B23" s="76">
        <v>46300</v>
      </c>
      <c r="C23" s="75" t="s">
        <v>157</v>
      </c>
      <c r="D23" s="75" t="s">
        <v>9</v>
      </c>
      <c r="E23" s="75">
        <v>25000</v>
      </c>
      <c r="F23" s="75">
        <v>3</v>
      </c>
      <c r="G23" s="75" t="s">
        <v>10</v>
      </c>
    </row>
    <row r="24" spans="1:7" x14ac:dyDescent="0.3">
      <c r="A24" s="75" t="s">
        <v>41</v>
      </c>
      <c r="B24" s="76">
        <v>46300</v>
      </c>
      <c r="C24" s="75" t="s">
        <v>18</v>
      </c>
      <c r="D24" s="75" t="s">
        <v>19</v>
      </c>
      <c r="E24" s="75">
        <v>20000</v>
      </c>
      <c r="F24" s="75">
        <v>2</v>
      </c>
      <c r="G24" s="75" t="s">
        <v>211</v>
      </c>
    </row>
    <row r="25" spans="1:7" x14ac:dyDescent="0.3">
      <c r="A25" s="75" t="s">
        <v>42</v>
      </c>
      <c r="B25" s="76">
        <v>46300</v>
      </c>
      <c r="C25" s="75" t="s">
        <v>15</v>
      </c>
      <c r="D25" s="75" t="s">
        <v>9</v>
      </c>
      <c r="E25" s="75">
        <v>25000</v>
      </c>
      <c r="F25" s="75">
        <v>2</v>
      </c>
      <c r="G25" s="75" t="s">
        <v>13</v>
      </c>
    </row>
    <row r="26" spans="1:7" x14ac:dyDescent="0.3">
      <c r="A26" s="75" t="s">
        <v>43</v>
      </c>
      <c r="B26" s="76">
        <v>46300</v>
      </c>
      <c r="C26" s="75" t="s">
        <v>27</v>
      </c>
      <c r="D26" s="75" t="s">
        <v>19</v>
      </c>
      <c r="E26" s="75" t="s">
        <v>156</v>
      </c>
      <c r="F26" s="75">
        <v>3</v>
      </c>
      <c r="G26" s="75" t="s">
        <v>10</v>
      </c>
    </row>
    <row r="27" spans="1:7" x14ac:dyDescent="0.3">
      <c r="A27" s="75" t="s">
        <v>42</v>
      </c>
      <c r="B27" s="76">
        <v>46300</v>
      </c>
      <c r="C27" s="75" t="s">
        <v>15</v>
      </c>
      <c r="D27" s="75" t="s">
        <v>9</v>
      </c>
      <c r="E27" s="75">
        <v>25000</v>
      </c>
      <c r="F27" s="75">
        <v>2</v>
      </c>
      <c r="G27" s="75" t="s">
        <v>13</v>
      </c>
    </row>
    <row r="28" spans="1:7" x14ac:dyDescent="0.3">
      <c r="A28" s="75" t="s">
        <v>44</v>
      </c>
      <c r="B28" s="76">
        <v>46300</v>
      </c>
      <c r="C28" s="75" t="s">
        <v>29</v>
      </c>
      <c r="D28" s="75" t="s">
        <v>155</v>
      </c>
      <c r="E28" s="75">
        <v>22000</v>
      </c>
      <c r="F28" s="75">
        <v>4</v>
      </c>
      <c r="G28" s="75" t="s">
        <v>16</v>
      </c>
    </row>
    <row r="29" spans="1:7" x14ac:dyDescent="0.3">
      <c r="A29" s="75" t="s">
        <v>45</v>
      </c>
      <c r="B29" s="76">
        <v>46301</v>
      </c>
      <c r="C29" s="75" t="s">
        <v>8</v>
      </c>
      <c r="D29" s="75" t="s">
        <v>9</v>
      </c>
      <c r="E29" s="75">
        <v>18000</v>
      </c>
      <c r="F29" s="75" t="s">
        <v>154</v>
      </c>
      <c r="G29" s="75" t="s">
        <v>10</v>
      </c>
    </row>
    <row r="30" spans="1:7" x14ac:dyDescent="0.3">
      <c r="A30" s="75" t="s">
        <v>46</v>
      </c>
      <c r="B30" s="76">
        <v>46301</v>
      </c>
      <c r="C30" s="75" t="s">
        <v>153</v>
      </c>
      <c r="D30" s="75" t="s">
        <v>19</v>
      </c>
      <c r="E30" s="75">
        <v>22000</v>
      </c>
      <c r="F30" s="75">
        <v>2</v>
      </c>
      <c r="G30" s="75" t="s">
        <v>16</v>
      </c>
    </row>
    <row r="31" spans="1:7" x14ac:dyDescent="0.3">
      <c r="A31" s="75" t="s">
        <v>152</v>
      </c>
      <c r="B31" s="76">
        <v>46301</v>
      </c>
      <c r="C31" s="75" t="s">
        <v>21</v>
      </c>
      <c r="D31" s="75" t="s">
        <v>9</v>
      </c>
      <c r="E31" s="75">
        <v>28000</v>
      </c>
      <c r="F31" s="75">
        <v>3</v>
      </c>
      <c r="G31" s="75" t="s">
        <v>13</v>
      </c>
    </row>
    <row r="32" spans="1:7" x14ac:dyDescent="0.3">
      <c r="A32" s="75" t="s">
        <v>48</v>
      </c>
      <c r="B32" s="76">
        <v>46301</v>
      </c>
      <c r="C32" s="75" t="s">
        <v>15</v>
      </c>
      <c r="D32" s="75" t="s">
        <v>9</v>
      </c>
      <c r="E32" s="75"/>
      <c r="F32" s="75">
        <v>1</v>
      </c>
      <c r="G32" s="75" t="s">
        <v>10</v>
      </c>
    </row>
    <row r="33" spans="1:7" x14ac:dyDescent="0.3">
      <c r="A33" s="75" t="s">
        <v>49</v>
      </c>
      <c r="B33" s="76">
        <v>46301</v>
      </c>
      <c r="C33" s="75" t="s">
        <v>151</v>
      </c>
      <c r="D33" s="75" t="s">
        <v>19</v>
      </c>
      <c r="E33" s="75">
        <v>20000</v>
      </c>
      <c r="F33" s="75">
        <v>4</v>
      </c>
      <c r="G33" s="75" t="s">
        <v>13</v>
      </c>
    </row>
    <row r="34" spans="1:7" x14ac:dyDescent="0.3">
      <c r="A34" s="75" t="s">
        <v>150</v>
      </c>
      <c r="B34" s="76">
        <v>46302</v>
      </c>
      <c r="C34" s="75" t="s">
        <v>29</v>
      </c>
      <c r="D34" s="75" t="s">
        <v>9</v>
      </c>
      <c r="E34" s="75" t="s">
        <v>149</v>
      </c>
      <c r="F34" s="75">
        <v>6</v>
      </c>
      <c r="G34" s="75" t="s">
        <v>10</v>
      </c>
    </row>
    <row r="35" spans="1:7" x14ac:dyDescent="0.3">
      <c r="A35" s="75" t="s">
        <v>51</v>
      </c>
      <c r="B35" s="75" t="s">
        <v>148</v>
      </c>
      <c r="C35" s="75" t="s">
        <v>12</v>
      </c>
      <c r="D35" s="75" t="s">
        <v>9</v>
      </c>
      <c r="E35" s="75">
        <v>25000</v>
      </c>
      <c r="F35" s="75">
        <v>2</v>
      </c>
      <c r="G35" s="75" t="s">
        <v>16</v>
      </c>
    </row>
    <row r="36" spans="1:7" x14ac:dyDescent="0.3">
      <c r="A36" s="75" t="s">
        <v>52</v>
      </c>
      <c r="B36" s="76">
        <v>46302</v>
      </c>
      <c r="C36" s="75" t="s">
        <v>27</v>
      </c>
      <c r="D36" s="75" t="s">
        <v>147</v>
      </c>
      <c r="E36" s="75">
        <v>32000</v>
      </c>
      <c r="F36" s="75">
        <v>2</v>
      </c>
      <c r="G36" s="75" t="s">
        <v>13</v>
      </c>
    </row>
    <row r="37" spans="1:7" x14ac:dyDescent="0.3">
      <c r="A37" s="75" t="s">
        <v>53</v>
      </c>
      <c r="B37" s="76">
        <v>46302</v>
      </c>
      <c r="C37" s="75" t="s">
        <v>8</v>
      </c>
      <c r="D37" s="75" t="s">
        <v>9</v>
      </c>
      <c r="E37" s="75">
        <v>18000</v>
      </c>
      <c r="F37" s="75" t="s">
        <v>210</v>
      </c>
      <c r="G37" s="75" t="s">
        <v>10</v>
      </c>
    </row>
    <row r="38" spans="1:7" x14ac:dyDescent="0.3">
      <c r="A38" s="75" t="s">
        <v>54</v>
      </c>
      <c r="B38" s="76">
        <v>46302</v>
      </c>
      <c r="C38" s="75" t="s">
        <v>21</v>
      </c>
      <c r="D38" s="75" t="s">
        <v>9</v>
      </c>
      <c r="E38" s="75">
        <v>28000</v>
      </c>
      <c r="F38" s="75">
        <v>2</v>
      </c>
      <c r="G38" s="75" t="s">
        <v>209</v>
      </c>
    </row>
    <row r="39" spans="1:7" x14ac:dyDescent="0.3">
      <c r="A39" s="75" t="s">
        <v>55</v>
      </c>
      <c r="B39" s="76">
        <v>46303</v>
      </c>
      <c r="C39" s="75" t="s">
        <v>15</v>
      </c>
      <c r="D39" s="75" t="s">
        <v>9</v>
      </c>
      <c r="E39" s="75" t="s">
        <v>146</v>
      </c>
      <c r="F39" s="75">
        <v>3</v>
      </c>
      <c r="G39" s="75" t="s">
        <v>10</v>
      </c>
    </row>
    <row r="40" spans="1:7" x14ac:dyDescent="0.3">
      <c r="A40" s="75" t="s">
        <v>56</v>
      </c>
      <c r="B40" s="76">
        <v>46303</v>
      </c>
      <c r="C40" s="75" t="s">
        <v>18</v>
      </c>
      <c r="D40" s="75" t="s">
        <v>19</v>
      </c>
      <c r="E40" s="75">
        <v>20000</v>
      </c>
      <c r="F40" s="75">
        <v>1</v>
      </c>
      <c r="G40" s="75" t="s">
        <v>145</v>
      </c>
    </row>
    <row r="41" spans="1:7" x14ac:dyDescent="0.3">
      <c r="A41" s="75" t="s">
        <v>57</v>
      </c>
      <c r="B41" s="76">
        <v>46303</v>
      </c>
      <c r="C41" s="75" t="s">
        <v>29</v>
      </c>
      <c r="D41" s="75" t="s">
        <v>9</v>
      </c>
      <c r="E41" s="75">
        <v>22000</v>
      </c>
      <c r="F41" s="75">
        <v>40</v>
      </c>
      <c r="G41" s="75" t="s">
        <v>16</v>
      </c>
    </row>
    <row r="42" spans="1:7" x14ac:dyDescent="0.3">
      <c r="A42" s="75" t="s">
        <v>58</v>
      </c>
      <c r="B42" s="76">
        <v>46303</v>
      </c>
      <c r="C42" s="75" t="s">
        <v>144</v>
      </c>
      <c r="D42" s="75" t="s">
        <v>19</v>
      </c>
      <c r="E42" s="75">
        <v>22000</v>
      </c>
      <c r="F42" s="75">
        <v>3</v>
      </c>
      <c r="G42" s="75" t="s">
        <v>10</v>
      </c>
    </row>
    <row r="43" spans="1:7" x14ac:dyDescent="0.3">
      <c r="A43" s="75" t="s">
        <v>59</v>
      </c>
      <c r="B43" s="76">
        <v>46303</v>
      </c>
      <c r="C43" s="75" t="s">
        <v>12</v>
      </c>
      <c r="D43" s="75" t="s">
        <v>143</v>
      </c>
      <c r="E43" s="75">
        <v>25000</v>
      </c>
      <c r="F43" s="75">
        <v>1</v>
      </c>
      <c r="G43" s="75" t="s">
        <v>13</v>
      </c>
    </row>
    <row r="44" spans="1:7" x14ac:dyDescent="0.3">
      <c r="A44" s="75" t="s">
        <v>60</v>
      </c>
      <c r="B44" s="76">
        <v>46304</v>
      </c>
      <c r="C44" s="75" t="s">
        <v>8</v>
      </c>
      <c r="D44" s="75" t="s">
        <v>9</v>
      </c>
      <c r="E44" s="75">
        <v>18000</v>
      </c>
      <c r="F44" s="75">
        <v>5</v>
      </c>
      <c r="G44" s="75" t="s">
        <v>10</v>
      </c>
    </row>
    <row r="45" spans="1:7" x14ac:dyDescent="0.3">
      <c r="A45" s="75" t="s">
        <v>61</v>
      </c>
      <c r="B45" s="76">
        <v>46304</v>
      </c>
      <c r="C45" s="75" t="s">
        <v>27</v>
      </c>
      <c r="D45" s="75" t="s">
        <v>19</v>
      </c>
      <c r="E45" s="75">
        <v>32000</v>
      </c>
      <c r="F45" s="75">
        <v>1</v>
      </c>
      <c r="G45" s="75" t="s">
        <v>16</v>
      </c>
    </row>
    <row r="46" spans="1:7" x14ac:dyDescent="0.3">
      <c r="A46" s="75" t="s">
        <v>62</v>
      </c>
      <c r="B46" s="75"/>
      <c r="C46" s="75" t="s">
        <v>15</v>
      </c>
      <c r="D46" s="75" t="s">
        <v>9</v>
      </c>
      <c r="E46" s="75">
        <v>25000</v>
      </c>
      <c r="F46" s="75">
        <v>2</v>
      </c>
      <c r="G46" s="75" t="s">
        <v>13</v>
      </c>
    </row>
    <row r="47" spans="1:7" x14ac:dyDescent="0.3">
      <c r="A47" s="75" t="s">
        <v>63</v>
      </c>
      <c r="B47" s="76">
        <v>46304</v>
      </c>
      <c r="C47" s="75" t="s">
        <v>21</v>
      </c>
      <c r="D47" s="75" t="s">
        <v>9</v>
      </c>
      <c r="E47" s="75"/>
      <c r="F47" s="75">
        <v>2</v>
      </c>
      <c r="G47" s="75" t="s">
        <v>10</v>
      </c>
    </row>
    <row r="48" spans="1:7" x14ac:dyDescent="0.3">
      <c r="A48" s="75" t="s">
        <v>64</v>
      </c>
      <c r="B48" s="76">
        <v>46304</v>
      </c>
      <c r="C48" s="75" t="s">
        <v>29</v>
      </c>
      <c r="D48" s="75" t="s">
        <v>9</v>
      </c>
      <c r="E48" s="75" t="s">
        <v>141</v>
      </c>
      <c r="F48" s="75">
        <v>3</v>
      </c>
      <c r="G48" s="75" t="s">
        <v>16</v>
      </c>
    </row>
    <row r="49" spans="1:7" x14ac:dyDescent="0.3">
      <c r="A49" s="75" t="s">
        <v>65</v>
      </c>
      <c r="B49" s="76">
        <v>46305</v>
      </c>
      <c r="C49" s="75" t="s">
        <v>12</v>
      </c>
      <c r="D49" s="75" t="s">
        <v>9</v>
      </c>
      <c r="E49" s="75">
        <v>25000</v>
      </c>
      <c r="F49" s="75">
        <v>4</v>
      </c>
      <c r="G49" s="75" t="s">
        <v>208</v>
      </c>
    </row>
    <row r="50" spans="1:7" x14ac:dyDescent="0.3">
      <c r="A50" s="75" t="s">
        <v>66</v>
      </c>
      <c r="B50" s="76">
        <v>46305</v>
      </c>
      <c r="C50" s="75" t="s">
        <v>18</v>
      </c>
      <c r="D50" s="75" t="s">
        <v>19</v>
      </c>
      <c r="E50" s="75">
        <v>20000</v>
      </c>
      <c r="F50" s="75" t="s">
        <v>142</v>
      </c>
      <c r="G50" s="75" t="s">
        <v>16</v>
      </c>
    </row>
    <row r="51" spans="1:7" x14ac:dyDescent="0.3">
      <c r="A51" s="75" t="s">
        <v>67</v>
      </c>
      <c r="B51" s="76">
        <v>46305</v>
      </c>
      <c r="C51" s="75" t="s">
        <v>15</v>
      </c>
      <c r="D51" s="75" t="s">
        <v>9</v>
      </c>
      <c r="E51" s="75">
        <v>25000</v>
      </c>
      <c r="F51" s="75">
        <v>2</v>
      </c>
      <c r="G51" s="75" t="s">
        <v>10</v>
      </c>
    </row>
    <row r="52" spans="1:7" x14ac:dyDescent="0.3">
      <c r="A52" s="75" t="s">
        <v>68</v>
      </c>
      <c r="B52" s="76">
        <v>46305</v>
      </c>
      <c r="C52" s="75" t="s">
        <v>24</v>
      </c>
      <c r="D52" s="75" t="s">
        <v>19</v>
      </c>
      <c r="E52" s="75">
        <v>22000</v>
      </c>
      <c r="F52" s="75">
        <v>1</v>
      </c>
      <c r="G52" s="75" t="s">
        <v>13</v>
      </c>
    </row>
    <row r="53" spans="1:7" x14ac:dyDescent="0.3">
      <c r="A53" s="75" t="s">
        <v>69</v>
      </c>
      <c r="B53" s="76">
        <v>46305</v>
      </c>
      <c r="C53" s="75" t="s">
        <v>29</v>
      </c>
      <c r="D53" s="75" t="s">
        <v>9</v>
      </c>
      <c r="E53" s="75">
        <v>22000</v>
      </c>
      <c r="F53" s="75">
        <v>3</v>
      </c>
      <c r="G53" s="75" t="s">
        <v>10</v>
      </c>
    </row>
    <row r="54" spans="1:7" x14ac:dyDescent="0.3">
      <c r="A54" s="75" t="s">
        <v>64</v>
      </c>
      <c r="B54" s="76">
        <v>46304</v>
      </c>
      <c r="C54" s="75" t="s">
        <v>29</v>
      </c>
      <c r="D54" s="75" t="s">
        <v>9</v>
      </c>
      <c r="E54" s="75" t="s">
        <v>141</v>
      </c>
      <c r="F54" s="75">
        <v>3</v>
      </c>
      <c r="G54" s="75" t="s">
        <v>16</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F293F-B14D-4442-8D67-A85E247D3C47}">
  <dimension ref="A1:H51"/>
  <sheetViews>
    <sheetView tabSelected="1" zoomScaleNormal="100" workbookViewId="0">
      <pane ySplit="2" topLeftCell="A3" activePane="bottomLeft" state="frozen"/>
      <selection pane="bottomLeft" activeCell="A3" sqref="A3:B3"/>
    </sheetView>
  </sheetViews>
  <sheetFormatPr defaultColWidth="8.6640625" defaultRowHeight="14.4" x14ac:dyDescent="0.3"/>
  <cols>
    <col min="1" max="1" width="23.33203125" style="74" customWidth="1"/>
    <col min="2" max="2" width="18.5546875" style="74" customWidth="1"/>
    <col min="3" max="3" width="32.77734375" style="74" customWidth="1"/>
    <col min="4" max="4" width="9.88671875" style="74" customWidth="1"/>
    <col min="5" max="6" width="44" style="74" customWidth="1"/>
    <col min="7" max="7" width="30" style="74" customWidth="1"/>
    <col min="8" max="8" width="50" style="74" customWidth="1"/>
    <col min="9" max="16384" width="8.6640625" style="74"/>
  </cols>
  <sheetData>
    <row r="1" spans="1:8" ht="18" x14ac:dyDescent="0.3">
      <c r="A1" s="132" t="s">
        <v>306</v>
      </c>
      <c r="B1" s="91"/>
      <c r="C1" s="91"/>
      <c r="D1" s="91"/>
      <c r="E1" s="91"/>
      <c r="F1" s="91"/>
      <c r="G1" s="91"/>
      <c r="H1" s="91"/>
    </row>
    <row r="3" spans="1:8" x14ac:dyDescent="0.3">
      <c r="A3" s="105" t="s">
        <v>305</v>
      </c>
      <c r="B3" s="105"/>
    </row>
    <row r="4" spans="1:8" x14ac:dyDescent="0.3">
      <c r="A4" s="131" t="s">
        <v>304</v>
      </c>
      <c r="B4" s="130" t="s">
        <v>298</v>
      </c>
    </row>
    <row r="5" spans="1:8" x14ac:dyDescent="0.3">
      <c r="A5" s="129" t="s">
        <v>303</v>
      </c>
      <c r="B5" s="128">
        <f>COUNTA('02_Data_Kotor'!A2:A54)</f>
        <v>53</v>
      </c>
    </row>
    <row r="6" spans="1:8" x14ac:dyDescent="0.3">
      <c r="A6" s="129" t="s">
        <v>302</v>
      </c>
      <c r="B6" s="128">
        <v>3</v>
      </c>
    </row>
    <row r="7" spans="1:8" ht="28.8" x14ac:dyDescent="0.3">
      <c r="A7" s="127" t="s">
        <v>301</v>
      </c>
      <c r="B7" s="126">
        <f>B5-B6</f>
        <v>50</v>
      </c>
    </row>
    <row r="9" spans="1:8" x14ac:dyDescent="0.3">
      <c r="A9" s="105" t="s">
        <v>300</v>
      </c>
      <c r="B9" s="105"/>
      <c r="C9" s="105"/>
      <c r="D9" s="105"/>
      <c r="E9" s="105"/>
      <c r="F9" s="105"/>
      <c r="G9" s="105"/>
      <c r="H9" s="105"/>
    </row>
    <row r="10" spans="1:8" x14ac:dyDescent="0.3">
      <c r="A10" s="125" t="s">
        <v>93</v>
      </c>
      <c r="B10" s="119" t="s">
        <v>232</v>
      </c>
      <c r="C10" s="119" t="s">
        <v>299</v>
      </c>
      <c r="D10" s="119" t="s">
        <v>298</v>
      </c>
      <c r="E10" s="119" t="s">
        <v>369</v>
      </c>
      <c r="F10" s="119" t="s">
        <v>297</v>
      </c>
      <c r="G10" s="119" t="s">
        <v>296</v>
      </c>
      <c r="H10" s="118" t="s">
        <v>295</v>
      </c>
    </row>
    <row r="11" spans="1:8" ht="28.8" x14ac:dyDescent="0.3">
      <c r="A11" s="124">
        <v>1</v>
      </c>
      <c r="B11" s="116" t="s">
        <v>0</v>
      </c>
      <c r="C11" s="116" t="s">
        <v>294</v>
      </c>
      <c r="D11" s="123" t="s">
        <v>255</v>
      </c>
      <c r="E11" s="116" t="s">
        <v>368</v>
      </c>
      <c r="F11" s="116" t="s">
        <v>293</v>
      </c>
      <c r="G11" s="116" t="s">
        <v>292</v>
      </c>
      <c r="H11" s="115" t="s">
        <v>291</v>
      </c>
    </row>
    <row r="12" spans="1:8" ht="28.8" x14ac:dyDescent="0.3">
      <c r="A12" s="124">
        <v>2</v>
      </c>
      <c r="B12" s="116" t="s">
        <v>290</v>
      </c>
      <c r="C12" s="116" t="s">
        <v>289</v>
      </c>
      <c r="D12" s="123" t="s">
        <v>288</v>
      </c>
      <c r="E12" s="116" t="s">
        <v>287</v>
      </c>
      <c r="F12" s="116" t="s">
        <v>286</v>
      </c>
      <c r="G12" s="116" t="s">
        <v>285</v>
      </c>
      <c r="H12" s="115" t="s">
        <v>284</v>
      </c>
    </row>
    <row r="13" spans="1:8" ht="28.8" x14ac:dyDescent="0.3">
      <c r="A13" s="124">
        <v>3</v>
      </c>
      <c r="B13" s="116" t="s">
        <v>1</v>
      </c>
      <c r="C13" s="116" t="s">
        <v>283</v>
      </c>
      <c r="D13" s="123" t="s">
        <v>282</v>
      </c>
      <c r="E13" s="116" t="s">
        <v>281</v>
      </c>
      <c r="F13" s="116" t="s">
        <v>280</v>
      </c>
      <c r="G13" s="116" t="s">
        <v>279</v>
      </c>
      <c r="H13" s="115" t="s">
        <v>278</v>
      </c>
    </row>
    <row r="14" spans="1:8" ht="28.8" x14ac:dyDescent="0.3">
      <c r="A14" s="124">
        <v>4</v>
      </c>
      <c r="B14" s="116" t="s">
        <v>1</v>
      </c>
      <c r="C14" s="116" t="s">
        <v>256</v>
      </c>
      <c r="D14" s="123" t="s">
        <v>243</v>
      </c>
      <c r="E14" s="116" t="s">
        <v>277</v>
      </c>
      <c r="F14" s="116" t="s">
        <v>276</v>
      </c>
      <c r="G14" s="116" t="s">
        <v>275</v>
      </c>
      <c r="H14" s="115" t="s">
        <v>274</v>
      </c>
    </row>
    <row r="15" spans="1:8" ht="28.8" x14ac:dyDescent="0.3">
      <c r="A15" s="124">
        <v>5</v>
      </c>
      <c r="B15" s="116" t="s">
        <v>2</v>
      </c>
      <c r="C15" s="116" t="s">
        <v>273</v>
      </c>
      <c r="D15" s="123" t="s">
        <v>272</v>
      </c>
      <c r="E15" s="116" t="s">
        <v>271</v>
      </c>
      <c r="F15" s="116" t="s">
        <v>270</v>
      </c>
      <c r="G15" s="116" t="s">
        <v>234</v>
      </c>
      <c r="H15" s="115" t="s">
        <v>269</v>
      </c>
    </row>
    <row r="16" spans="1:8" x14ac:dyDescent="0.3">
      <c r="A16" s="124">
        <v>6</v>
      </c>
      <c r="B16" s="116" t="s">
        <v>3</v>
      </c>
      <c r="C16" s="116" t="s">
        <v>268</v>
      </c>
      <c r="D16" s="123" t="s">
        <v>267</v>
      </c>
      <c r="E16" s="116" t="s">
        <v>266</v>
      </c>
      <c r="F16" s="116" t="s">
        <v>265</v>
      </c>
      <c r="G16" s="116" t="s">
        <v>264</v>
      </c>
      <c r="H16" s="115" t="s">
        <v>263</v>
      </c>
    </row>
    <row r="17" spans="1:8" ht="28.8" x14ac:dyDescent="0.3">
      <c r="A17" s="124">
        <v>7</v>
      </c>
      <c r="B17" s="116" t="s">
        <v>4</v>
      </c>
      <c r="C17" s="116" t="s">
        <v>262</v>
      </c>
      <c r="D17" s="123" t="s">
        <v>261</v>
      </c>
      <c r="E17" s="116" t="s">
        <v>260</v>
      </c>
      <c r="F17" s="116" t="s">
        <v>259</v>
      </c>
      <c r="G17" s="116" t="s">
        <v>258</v>
      </c>
      <c r="H17" s="115" t="s">
        <v>257</v>
      </c>
    </row>
    <row r="18" spans="1:8" ht="28.8" x14ac:dyDescent="0.3">
      <c r="A18" s="124">
        <v>8</v>
      </c>
      <c r="B18" s="116" t="s">
        <v>4</v>
      </c>
      <c r="C18" s="116" t="s">
        <v>256</v>
      </c>
      <c r="D18" s="123" t="s">
        <v>255</v>
      </c>
      <c r="E18" s="116" t="s">
        <v>254</v>
      </c>
      <c r="F18" s="116" t="s">
        <v>253</v>
      </c>
      <c r="G18" s="116" t="s">
        <v>252</v>
      </c>
      <c r="H18" s="115" t="s">
        <v>251</v>
      </c>
    </row>
    <row r="19" spans="1:8" ht="28.8" x14ac:dyDescent="0.3">
      <c r="A19" s="124">
        <v>9</v>
      </c>
      <c r="B19" s="116" t="s">
        <v>5</v>
      </c>
      <c r="C19" s="116" t="s">
        <v>250</v>
      </c>
      <c r="D19" s="123" t="s">
        <v>249</v>
      </c>
      <c r="E19" s="116" t="s">
        <v>248</v>
      </c>
      <c r="F19" s="116" t="s">
        <v>247</v>
      </c>
      <c r="G19" s="116" t="s">
        <v>246</v>
      </c>
      <c r="H19" s="115" t="s">
        <v>245</v>
      </c>
    </row>
    <row r="20" spans="1:8" ht="28.8" x14ac:dyDescent="0.3">
      <c r="A20" s="124">
        <v>10</v>
      </c>
      <c r="B20" s="116" t="s">
        <v>5</v>
      </c>
      <c r="C20" s="116" t="s">
        <v>244</v>
      </c>
      <c r="D20" s="123" t="s">
        <v>243</v>
      </c>
      <c r="E20" s="116" t="s">
        <v>242</v>
      </c>
      <c r="F20" s="116" t="s">
        <v>241</v>
      </c>
      <c r="G20" s="116" t="s">
        <v>240</v>
      </c>
      <c r="H20" s="115" t="s">
        <v>239</v>
      </c>
    </row>
    <row r="21" spans="1:8" ht="28.8" x14ac:dyDescent="0.3">
      <c r="A21" s="122">
        <v>11</v>
      </c>
      <c r="B21" s="113" t="s">
        <v>6</v>
      </c>
      <c r="C21" s="113" t="s">
        <v>238</v>
      </c>
      <c r="D21" s="121" t="s">
        <v>237</v>
      </c>
      <c r="E21" s="113" t="s">
        <v>236</v>
      </c>
      <c r="F21" s="113" t="s">
        <v>235</v>
      </c>
      <c r="G21" s="113" t="s">
        <v>234</v>
      </c>
      <c r="H21" s="112" t="s">
        <v>233</v>
      </c>
    </row>
    <row r="23" spans="1:8" x14ac:dyDescent="0.3">
      <c r="A23" s="133" t="s">
        <v>370</v>
      </c>
      <c r="B23" s="133"/>
      <c r="C23" s="133"/>
    </row>
    <row r="24" spans="1:8" x14ac:dyDescent="0.3">
      <c r="A24" s="120" t="s">
        <v>232</v>
      </c>
      <c r="B24" s="119" t="s">
        <v>231</v>
      </c>
      <c r="C24" s="118" t="s">
        <v>230</v>
      </c>
    </row>
    <row r="25" spans="1:8" x14ac:dyDescent="0.3">
      <c r="A25" s="117" t="s">
        <v>2</v>
      </c>
      <c r="B25" s="116" t="s">
        <v>167</v>
      </c>
      <c r="C25" s="115" t="s">
        <v>12</v>
      </c>
    </row>
    <row r="26" spans="1:8" x14ac:dyDescent="0.3">
      <c r="A26" s="117" t="s">
        <v>2</v>
      </c>
      <c r="B26" s="116" t="s">
        <v>157</v>
      </c>
      <c r="C26" s="115" t="s">
        <v>12</v>
      </c>
    </row>
    <row r="27" spans="1:8" x14ac:dyDescent="0.3">
      <c r="A27" s="117" t="s">
        <v>2</v>
      </c>
      <c r="B27" s="116" t="s">
        <v>153</v>
      </c>
      <c r="C27" s="115" t="s">
        <v>24</v>
      </c>
    </row>
    <row r="28" spans="1:8" x14ac:dyDescent="0.3">
      <c r="A28" s="117" t="s">
        <v>6</v>
      </c>
      <c r="B28" s="116" t="s">
        <v>229</v>
      </c>
      <c r="C28" s="115" t="s">
        <v>10</v>
      </c>
    </row>
    <row r="29" spans="1:8" x14ac:dyDescent="0.3">
      <c r="A29" s="117" t="s">
        <v>6</v>
      </c>
      <c r="B29" s="116" t="s">
        <v>208</v>
      </c>
      <c r="C29" s="115" t="s">
        <v>10</v>
      </c>
    </row>
    <row r="30" spans="1:8" x14ac:dyDescent="0.3">
      <c r="A30" s="117" t="s">
        <v>6</v>
      </c>
      <c r="B30" s="116" t="s">
        <v>228</v>
      </c>
      <c r="C30" s="115" t="s">
        <v>13</v>
      </c>
    </row>
    <row r="31" spans="1:8" x14ac:dyDescent="0.3">
      <c r="A31" s="117" t="s">
        <v>6</v>
      </c>
      <c r="B31" s="116" t="s">
        <v>227</v>
      </c>
      <c r="C31" s="115" t="s">
        <v>16</v>
      </c>
    </row>
    <row r="32" spans="1:8" x14ac:dyDescent="0.3">
      <c r="A32" s="117" t="s">
        <v>6</v>
      </c>
      <c r="B32" s="116" t="s">
        <v>211</v>
      </c>
      <c r="C32" s="115" t="s">
        <v>16</v>
      </c>
    </row>
    <row r="33" spans="1:8" x14ac:dyDescent="0.3">
      <c r="A33" s="117" t="s">
        <v>6</v>
      </c>
      <c r="B33" s="116" t="s">
        <v>209</v>
      </c>
      <c r="C33" s="115" t="s">
        <v>16</v>
      </c>
    </row>
    <row r="34" spans="1:8" x14ac:dyDescent="0.3">
      <c r="A34" s="117" t="s">
        <v>5</v>
      </c>
      <c r="B34" s="116" t="s">
        <v>210</v>
      </c>
      <c r="C34" s="115">
        <v>1</v>
      </c>
    </row>
    <row r="35" spans="1:8" x14ac:dyDescent="0.3">
      <c r="A35" s="114" t="s">
        <v>5</v>
      </c>
      <c r="B35" s="113" t="s">
        <v>212</v>
      </c>
      <c r="C35" s="112">
        <v>2</v>
      </c>
    </row>
    <row r="37" spans="1:8" x14ac:dyDescent="0.3">
      <c r="A37" s="133" t="s">
        <v>226</v>
      </c>
      <c r="B37" s="133"/>
      <c r="C37" s="110"/>
      <c r="D37" s="110"/>
      <c r="E37" s="110"/>
      <c r="F37" s="110"/>
      <c r="G37" s="110"/>
      <c r="H37" s="110"/>
    </row>
    <row r="38" spans="1:8" ht="15" customHeight="1" x14ac:dyDescent="0.3">
      <c r="A38" s="123">
        <v>1</v>
      </c>
      <c r="B38" s="134" t="s">
        <v>225</v>
      </c>
      <c r="C38" s="111"/>
      <c r="D38" s="111"/>
      <c r="E38" s="111"/>
      <c r="F38" s="111"/>
      <c r="G38" s="111"/>
      <c r="H38" s="111"/>
    </row>
    <row r="39" spans="1:8" ht="15" customHeight="1" x14ac:dyDescent="0.3">
      <c r="A39" s="123">
        <v>2</v>
      </c>
      <c r="B39" s="134" t="s">
        <v>224</v>
      </c>
      <c r="C39" s="111"/>
      <c r="D39" s="111"/>
      <c r="E39" s="111"/>
      <c r="F39" s="111"/>
      <c r="G39" s="111"/>
      <c r="H39" s="111"/>
    </row>
    <row r="40" spans="1:8" ht="15" customHeight="1" x14ac:dyDescent="0.3">
      <c r="A40" s="123">
        <v>3</v>
      </c>
      <c r="B40" s="134" t="s">
        <v>223</v>
      </c>
      <c r="C40" s="111"/>
      <c r="D40" s="111"/>
      <c r="E40" s="111"/>
      <c r="F40" s="111"/>
      <c r="G40" s="111"/>
      <c r="H40" s="111"/>
    </row>
    <row r="41" spans="1:8" ht="15" customHeight="1" x14ac:dyDescent="0.3">
      <c r="A41" s="123">
        <v>4</v>
      </c>
      <c r="B41" s="134" t="s">
        <v>222</v>
      </c>
      <c r="C41" s="111"/>
      <c r="D41" s="111"/>
      <c r="E41" s="111"/>
      <c r="F41" s="111"/>
      <c r="G41" s="111"/>
      <c r="H41" s="111"/>
    </row>
    <row r="42" spans="1:8" ht="15" customHeight="1" x14ac:dyDescent="0.3">
      <c r="A42" s="123">
        <v>5</v>
      </c>
      <c r="B42" s="134" t="s">
        <v>221</v>
      </c>
      <c r="C42" s="111"/>
      <c r="D42" s="111"/>
      <c r="E42" s="111"/>
      <c r="F42" s="111"/>
      <c r="G42" s="111"/>
      <c r="H42" s="111"/>
    </row>
    <row r="43" spans="1:8" ht="15" customHeight="1" x14ac:dyDescent="0.3">
      <c r="A43" s="123">
        <v>6</v>
      </c>
      <c r="B43" s="134" t="s">
        <v>220</v>
      </c>
      <c r="C43" s="111"/>
      <c r="D43" s="111"/>
      <c r="E43" s="111"/>
      <c r="F43" s="111"/>
      <c r="G43" s="111"/>
      <c r="H43" s="111"/>
    </row>
    <row r="44" spans="1:8" ht="15" customHeight="1" x14ac:dyDescent="0.3">
      <c r="A44" s="123">
        <v>7</v>
      </c>
      <c r="B44" s="134" t="s">
        <v>219</v>
      </c>
      <c r="C44" s="111"/>
      <c r="D44" s="111"/>
      <c r="E44" s="111"/>
      <c r="F44" s="111"/>
      <c r="G44" s="111"/>
      <c r="H44" s="111"/>
    </row>
    <row r="45" spans="1:8" ht="15" customHeight="1" x14ac:dyDescent="0.3">
      <c r="A45" s="123">
        <v>8</v>
      </c>
      <c r="B45" s="134" t="s">
        <v>218</v>
      </c>
      <c r="C45" s="111"/>
      <c r="D45" s="111"/>
      <c r="E45" s="111"/>
      <c r="F45" s="111"/>
      <c r="G45" s="111"/>
      <c r="H45" s="111"/>
    </row>
    <row r="46" spans="1:8" ht="15" customHeight="1" x14ac:dyDescent="0.3">
      <c r="A46" s="123">
        <v>9</v>
      </c>
      <c r="B46" s="134" t="s">
        <v>217</v>
      </c>
      <c r="C46" s="111"/>
      <c r="D46" s="111"/>
      <c r="E46" s="111"/>
      <c r="F46" s="111"/>
      <c r="G46" s="111"/>
      <c r="H46" s="111"/>
    </row>
    <row r="48" spans="1:8" x14ac:dyDescent="0.3">
      <c r="A48" s="133" t="s">
        <v>216</v>
      </c>
      <c r="B48" s="133"/>
      <c r="C48" s="110"/>
      <c r="D48" s="110"/>
      <c r="E48" s="110"/>
      <c r="F48" s="110"/>
      <c r="G48" s="110"/>
      <c r="H48" s="110"/>
    </row>
    <row r="49" spans="1:8" ht="15" customHeight="1" x14ac:dyDescent="0.3">
      <c r="A49" s="123">
        <v>1</v>
      </c>
      <c r="B49" s="134" t="s">
        <v>215</v>
      </c>
      <c r="C49" s="109"/>
      <c r="D49" s="109"/>
      <c r="E49" s="109"/>
      <c r="F49" s="109"/>
      <c r="G49" s="109"/>
      <c r="H49" s="109"/>
    </row>
    <row r="50" spans="1:8" ht="15" customHeight="1" x14ac:dyDescent="0.3">
      <c r="A50" s="123">
        <v>2</v>
      </c>
      <c r="B50" s="134" t="s">
        <v>214</v>
      </c>
      <c r="C50" s="109"/>
      <c r="D50" s="109"/>
      <c r="E50" s="109"/>
      <c r="F50" s="109"/>
      <c r="G50" s="109"/>
      <c r="H50" s="109"/>
    </row>
    <row r="51" spans="1:8" ht="15" customHeight="1" x14ac:dyDescent="0.3">
      <c r="A51" s="123">
        <v>3</v>
      </c>
      <c r="B51" s="134" t="s">
        <v>213</v>
      </c>
      <c r="C51" s="109"/>
      <c r="D51" s="109"/>
      <c r="E51" s="109"/>
      <c r="F51" s="109"/>
      <c r="G51" s="109"/>
      <c r="H51" s="109"/>
    </row>
  </sheetData>
  <mergeCells count="6">
    <mergeCell ref="A1:H1"/>
    <mergeCell ref="A37:B37"/>
    <mergeCell ref="A23:C23"/>
    <mergeCell ref="A9:H9"/>
    <mergeCell ref="A3:B3"/>
    <mergeCell ref="A48:B48"/>
  </mergeCells>
  <pageMargins left="0.75" right="0.75" top="1" bottom="1" header="0.511811023622047" footer="0.511811023622047"/>
  <pageSetup paperSize="9" orientation="portrait" horizontalDpi="300" verticalDpi="300"/>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7AA87-DFD7-4834-83B0-0F0D6AF121D0}">
  <dimension ref="A1:P53"/>
  <sheetViews>
    <sheetView zoomScale="85" zoomScaleNormal="85" workbookViewId="0">
      <selection activeCell="C8" sqref="C8"/>
    </sheetView>
  </sheetViews>
  <sheetFormatPr defaultRowHeight="14.4" x14ac:dyDescent="0.3"/>
  <cols>
    <col min="1" max="1" width="12.5546875" customWidth="1"/>
    <col min="2" max="2" width="11.6640625" bestFit="1" customWidth="1"/>
    <col min="3" max="3" width="16.88671875" customWidth="1"/>
    <col min="4" max="4" width="12.21875" customWidth="1"/>
    <col min="5" max="5" width="18.5546875" customWidth="1"/>
    <col min="6" max="6" width="19.44140625" customWidth="1"/>
    <col min="7" max="7" width="26.44140625" customWidth="1"/>
    <col min="8" max="8" width="17.5546875" bestFit="1" customWidth="1"/>
    <col min="9" max="9" width="25.44140625" bestFit="1" customWidth="1"/>
    <col min="10" max="10" width="28.21875" bestFit="1" customWidth="1"/>
    <col min="11" max="11" width="31" bestFit="1" customWidth="1"/>
    <col min="12" max="12" width="15.6640625" bestFit="1" customWidth="1"/>
    <col min="13" max="13" width="14.88671875" customWidth="1"/>
    <col min="14" max="14" width="15" bestFit="1" customWidth="1"/>
    <col min="15" max="15" width="18.21875" customWidth="1"/>
    <col min="16" max="16" width="15.44140625" bestFit="1" customWidth="1"/>
  </cols>
  <sheetData>
    <row r="1" spans="1:16" ht="33.6" customHeight="1" x14ac:dyDescent="0.3">
      <c r="A1" s="108" t="s">
        <v>90</v>
      </c>
      <c r="B1" s="108"/>
      <c r="C1" s="108"/>
      <c r="D1" s="108"/>
      <c r="E1" s="108"/>
      <c r="F1" s="108"/>
      <c r="G1" s="108"/>
      <c r="H1" s="108"/>
    </row>
    <row r="2" spans="1:16" x14ac:dyDescent="0.3">
      <c r="J2" s="96" t="s">
        <v>314</v>
      </c>
      <c r="K2" s="96"/>
      <c r="L2" s="96"/>
      <c r="N2" s="96" t="s">
        <v>194</v>
      </c>
      <c r="O2" s="96"/>
    </row>
    <row r="3" spans="1:16" x14ac:dyDescent="0.3">
      <c r="A3" s="4" t="s">
        <v>0</v>
      </c>
      <c r="B3" s="5" t="s">
        <v>1</v>
      </c>
      <c r="C3" s="5" t="s">
        <v>2</v>
      </c>
      <c r="D3" s="5" t="s">
        <v>3</v>
      </c>
      <c r="E3" s="5" t="s">
        <v>4</v>
      </c>
      <c r="F3" s="6" t="s">
        <v>5</v>
      </c>
      <c r="G3" s="5" t="s">
        <v>6</v>
      </c>
      <c r="H3" s="5" t="s">
        <v>75</v>
      </c>
      <c r="J3" s="21" t="s">
        <v>82</v>
      </c>
      <c r="K3" s="22" t="s">
        <v>19</v>
      </c>
      <c r="L3" s="23" t="s">
        <v>9</v>
      </c>
      <c r="N3" s="21" t="s">
        <v>82</v>
      </c>
      <c r="O3" s="23" t="s">
        <v>201</v>
      </c>
    </row>
    <row r="4" spans="1:16" x14ac:dyDescent="0.3">
      <c r="A4" s="1" t="s">
        <v>7</v>
      </c>
      <c r="B4" s="3">
        <v>46296</v>
      </c>
      <c r="C4" t="s">
        <v>8</v>
      </c>
      <c r="D4" t="s">
        <v>9</v>
      </c>
      <c r="E4" s="2">
        <v>18000</v>
      </c>
      <c r="F4" s="5">
        <v>2</v>
      </c>
      <c r="G4" s="5" t="s">
        <v>10</v>
      </c>
      <c r="H4" s="2">
        <f t="shared" ref="H4:H35" si="0">E4*F4</f>
        <v>36000</v>
      </c>
      <c r="J4" s="18" t="s">
        <v>83</v>
      </c>
      <c r="K4" s="14">
        <f>_xlfn.MINIFS(H4:H53, D4:D53, "Makanan")</f>
        <v>20000</v>
      </c>
      <c r="L4" s="20">
        <f>_xlfn.MINIFS(H4:H53,D4:D53,"minuman")</f>
        <v>18000</v>
      </c>
      <c r="M4" s="12"/>
      <c r="N4" s="18" t="s">
        <v>83</v>
      </c>
      <c r="O4" s="20">
        <f>MIN(H4:H53)</f>
        <v>18000</v>
      </c>
    </row>
    <row r="5" spans="1:16" x14ac:dyDescent="0.3">
      <c r="A5" s="1" t="s">
        <v>11</v>
      </c>
      <c r="B5" s="3">
        <v>46296</v>
      </c>
      <c r="C5" t="s">
        <v>12</v>
      </c>
      <c r="D5" t="s">
        <v>9</v>
      </c>
      <c r="E5" s="2">
        <v>25000</v>
      </c>
      <c r="F5" s="5">
        <v>1</v>
      </c>
      <c r="G5" s="5" t="s">
        <v>13</v>
      </c>
      <c r="H5" s="2">
        <f t="shared" si="0"/>
        <v>25000</v>
      </c>
      <c r="J5" s="18" t="s">
        <v>84</v>
      </c>
      <c r="K5" s="14">
        <f>_xlfn.MAXIFS(H4:H53, D4:D53, "Makanan")</f>
        <v>96000</v>
      </c>
      <c r="L5" s="20">
        <f>_xlfn.MAXIFS(H4:H53,D4:D53,"minuman")</f>
        <v>132000</v>
      </c>
      <c r="M5" s="12"/>
      <c r="N5" s="18" t="s">
        <v>84</v>
      </c>
      <c r="O5" s="20">
        <f>MAX(H4:H53)</f>
        <v>132000</v>
      </c>
    </row>
    <row r="6" spans="1:16" x14ac:dyDescent="0.3">
      <c r="A6" s="1" t="s">
        <v>14</v>
      </c>
      <c r="B6" s="3">
        <v>46296</v>
      </c>
      <c r="C6" t="s">
        <v>15</v>
      </c>
      <c r="D6" t="s">
        <v>9</v>
      </c>
      <c r="E6" s="2">
        <v>25000</v>
      </c>
      <c r="F6" s="5">
        <v>3</v>
      </c>
      <c r="G6" s="5" t="s">
        <v>16</v>
      </c>
      <c r="H6" s="2">
        <f t="shared" si="0"/>
        <v>75000</v>
      </c>
      <c r="J6" s="19" t="s">
        <v>324</v>
      </c>
      <c r="K6" s="14">
        <f>AVERAGEIFS(H4:H53, D4:D53, "Makanan")</f>
        <v>47875</v>
      </c>
      <c r="L6" s="20">
        <f>AVERAGEIFS(H4:H53, D4:D53, "Minuman")</f>
        <v>62117.647058823532</v>
      </c>
      <c r="M6" s="12"/>
      <c r="N6" s="27" t="s">
        <v>85</v>
      </c>
      <c r="O6" s="26">
        <f>AVERAGE(H4:H53)</f>
        <v>57560</v>
      </c>
    </row>
    <row r="7" spans="1:16" x14ac:dyDescent="0.3">
      <c r="A7" s="1" t="s">
        <v>17</v>
      </c>
      <c r="B7" s="3">
        <v>46296</v>
      </c>
      <c r="C7" t="s">
        <v>18</v>
      </c>
      <c r="D7" t="s">
        <v>19</v>
      </c>
      <c r="E7" s="2">
        <v>20000</v>
      </c>
      <c r="F7" s="5">
        <v>2</v>
      </c>
      <c r="G7" s="5" t="s">
        <v>10</v>
      </c>
      <c r="H7" s="2">
        <f t="shared" si="0"/>
        <v>40000</v>
      </c>
      <c r="J7" s="24" t="s">
        <v>189</v>
      </c>
      <c r="K7" s="25">
        <f>SUMIF(D4:D53, "Makanan", H4:H53) / COUNTIF(D4:D53, "Makanan")</f>
        <v>47875</v>
      </c>
      <c r="L7" s="26">
        <f>SUMIF(D4:D53, "Minuman", H4:H53) / COUNTIF(D4:D53, "Minuman")</f>
        <v>62117.647058823532</v>
      </c>
      <c r="N7" s="15"/>
    </row>
    <row r="8" spans="1:16" x14ac:dyDescent="0.3">
      <c r="A8" s="1" t="s">
        <v>20</v>
      </c>
      <c r="B8" s="3">
        <v>46296</v>
      </c>
      <c r="C8" t="s">
        <v>21</v>
      </c>
      <c r="D8" t="s">
        <v>9</v>
      </c>
      <c r="E8" s="2">
        <v>28000</v>
      </c>
      <c r="F8" s="5">
        <v>2</v>
      </c>
      <c r="G8" s="5" t="s">
        <v>16</v>
      </c>
      <c r="H8" s="2">
        <f t="shared" si="0"/>
        <v>56000</v>
      </c>
      <c r="J8" s="65" t="s">
        <v>188</v>
      </c>
      <c r="K8" s="66">
        <f>SUMIF(D4:D53, "Makanan", H4:H53)</f>
        <v>766000</v>
      </c>
      <c r="L8" s="67">
        <f>SUMIF(D4:D53, "Minuman", H4:H53)</f>
        <v>2112000</v>
      </c>
    </row>
    <row r="9" spans="1:16" x14ac:dyDescent="0.3">
      <c r="A9" s="1" t="s">
        <v>22</v>
      </c>
      <c r="B9" s="3">
        <v>46297</v>
      </c>
      <c r="C9" t="s">
        <v>8</v>
      </c>
      <c r="D9" t="s">
        <v>9</v>
      </c>
      <c r="E9" s="2">
        <v>18000</v>
      </c>
      <c r="F9" s="5">
        <v>4</v>
      </c>
      <c r="G9" s="5" t="s">
        <v>13</v>
      </c>
      <c r="H9" s="2">
        <f t="shared" si="0"/>
        <v>72000</v>
      </c>
      <c r="N9" s="95" t="s">
        <v>196</v>
      </c>
      <c r="O9" s="95"/>
      <c r="P9" s="15"/>
    </row>
    <row r="10" spans="1:16" ht="15" thickBot="1" x14ac:dyDescent="0.35">
      <c r="A10" s="1" t="s">
        <v>23</v>
      </c>
      <c r="B10" s="3">
        <v>46297</v>
      </c>
      <c r="C10" t="s">
        <v>24</v>
      </c>
      <c r="D10" t="s">
        <v>19</v>
      </c>
      <c r="E10" s="2">
        <v>22000</v>
      </c>
      <c r="F10" s="5">
        <v>1</v>
      </c>
      <c r="G10" s="5" t="s">
        <v>10</v>
      </c>
      <c r="H10" s="2">
        <f t="shared" si="0"/>
        <v>22000</v>
      </c>
      <c r="J10" s="97" t="s">
        <v>195</v>
      </c>
      <c r="K10" s="98"/>
      <c r="L10" s="98"/>
      <c r="N10" s="71" t="s">
        <v>82</v>
      </c>
      <c r="O10" s="72" t="s">
        <v>193</v>
      </c>
      <c r="P10" s="13"/>
    </row>
    <row r="11" spans="1:16" ht="15.6" thickTop="1" thickBot="1" x14ac:dyDescent="0.35">
      <c r="A11" s="1" t="s">
        <v>25</v>
      </c>
      <c r="B11" s="3">
        <v>46297</v>
      </c>
      <c r="C11" t="s">
        <v>15</v>
      </c>
      <c r="D11" t="s">
        <v>9</v>
      </c>
      <c r="E11" s="2">
        <v>25000</v>
      </c>
      <c r="F11" s="5">
        <v>2</v>
      </c>
      <c r="G11" s="5" t="s">
        <v>10</v>
      </c>
      <c r="H11" s="2">
        <f t="shared" si="0"/>
        <v>50000</v>
      </c>
      <c r="J11" s="28" t="s">
        <v>79</v>
      </c>
      <c r="K11" s="28" t="s">
        <v>80</v>
      </c>
      <c r="L11" s="28" t="s">
        <v>81</v>
      </c>
      <c r="N11" s="70" t="s">
        <v>190</v>
      </c>
      <c r="O11" s="69">
        <f>MAX(F4:F53)</f>
        <v>6</v>
      </c>
      <c r="P11" s="12"/>
    </row>
    <row r="12" spans="1:16" ht="15.6" thickTop="1" thickBot="1" x14ac:dyDescent="0.35">
      <c r="A12" s="1" t="s">
        <v>26</v>
      </c>
      <c r="B12" s="3">
        <v>46297</v>
      </c>
      <c r="C12" t="s">
        <v>27</v>
      </c>
      <c r="D12" t="s">
        <v>19</v>
      </c>
      <c r="E12" s="2">
        <v>32000</v>
      </c>
      <c r="F12" s="5">
        <v>2</v>
      </c>
      <c r="G12" s="5" t="s">
        <v>16</v>
      </c>
      <c r="H12" s="2">
        <f t="shared" si="0"/>
        <v>64000</v>
      </c>
      <c r="J12" s="29" t="str" cm="1">
        <f t="array" ref="J12:J19">_xlfn.UNIQUE(Table_Penjualan[nama_menu])</f>
        <v>Americano</v>
      </c>
      <c r="K12" s="29" cm="1">
        <f t="array" ref="K12">SUMPRODUCT(($C$4:$C$53=$J12)*$F$4:$F$53)</f>
        <v>20</v>
      </c>
      <c r="L12" s="29" t="str">
        <f t="shared" ref="L12:L19" si="1">IF(K12=MAX($K$12:$K$19), J12, "")</f>
        <v/>
      </c>
      <c r="N12" s="70" t="s">
        <v>191</v>
      </c>
      <c r="O12" s="69">
        <f>MIN(F4:F53)</f>
        <v>1</v>
      </c>
      <c r="P12" s="12"/>
    </row>
    <row r="13" spans="1:16" ht="15.6" thickTop="1" thickBot="1" x14ac:dyDescent="0.35">
      <c r="A13" s="1" t="s">
        <v>28</v>
      </c>
      <c r="B13" s="3">
        <v>46297</v>
      </c>
      <c r="C13" t="s">
        <v>29</v>
      </c>
      <c r="D13" t="s">
        <v>9</v>
      </c>
      <c r="E13" s="2">
        <v>22000</v>
      </c>
      <c r="F13" s="5">
        <v>5</v>
      </c>
      <c r="G13" s="5" t="s">
        <v>10</v>
      </c>
      <c r="H13" s="2">
        <f t="shared" si="0"/>
        <v>110000</v>
      </c>
      <c r="J13" s="29" t="str">
        <v>Cappuccino</v>
      </c>
      <c r="K13" s="29" cm="1">
        <f t="array" ref="K13">SUMPRODUCT(($C$4:$C$53=$J13)*$F$4:$F$53)</f>
        <v>13</v>
      </c>
      <c r="L13" s="29" t="str">
        <f t="shared" si="1"/>
        <v/>
      </c>
      <c r="N13" s="30" t="s">
        <v>192</v>
      </c>
      <c r="O13" s="30">
        <f>AVERAGE(F4:F53)</f>
        <v>2.48</v>
      </c>
    </row>
    <row r="14" spans="1:16" ht="15.6" thickTop="1" thickBot="1" x14ac:dyDescent="0.35">
      <c r="A14" s="1" t="s">
        <v>30</v>
      </c>
      <c r="B14" s="3">
        <v>46298</v>
      </c>
      <c r="C14" t="s">
        <v>12</v>
      </c>
      <c r="D14" t="s">
        <v>9</v>
      </c>
      <c r="E14" s="2">
        <v>25000</v>
      </c>
      <c r="F14" s="5">
        <v>2</v>
      </c>
      <c r="G14" s="5" t="s">
        <v>16</v>
      </c>
      <c r="H14" s="2">
        <f t="shared" si="0"/>
        <v>50000</v>
      </c>
      <c r="J14" s="29" t="str">
        <v>Latte</v>
      </c>
      <c r="K14" s="29" cm="1">
        <f t="array" ref="K14">SUMPRODUCT(($C$4:$C$53=$J14)*$F$4:$F$53)</f>
        <v>19</v>
      </c>
      <c r="L14" s="29" t="str">
        <f t="shared" si="1"/>
        <v/>
      </c>
      <c r="N14" s="94"/>
      <c r="O14" s="94"/>
      <c r="P14" s="94"/>
    </row>
    <row r="15" spans="1:16" ht="15.6" thickTop="1" thickBot="1" x14ac:dyDescent="0.35">
      <c r="A15" s="1" t="s">
        <v>31</v>
      </c>
      <c r="B15" s="3">
        <v>46298</v>
      </c>
      <c r="C15" t="s">
        <v>18</v>
      </c>
      <c r="D15" t="s">
        <v>19</v>
      </c>
      <c r="E15" s="2">
        <v>20000</v>
      </c>
      <c r="F15" s="5">
        <v>3</v>
      </c>
      <c r="G15" s="5" t="s">
        <v>13</v>
      </c>
      <c r="H15" s="2">
        <f t="shared" si="0"/>
        <v>60000</v>
      </c>
      <c r="J15" s="29" t="str">
        <v>Croissant</v>
      </c>
      <c r="K15" s="29" cm="1">
        <f t="array" ref="K15">SUMPRODUCT(($C$4:$C$53=$J15)*$F$4:$F$53)</f>
        <v>14</v>
      </c>
      <c r="L15" s="29" t="str">
        <f t="shared" si="1"/>
        <v/>
      </c>
    </row>
    <row r="16" spans="1:16" ht="15.6" thickTop="1" thickBot="1" x14ac:dyDescent="0.35">
      <c r="A16" s="1" t="s">
        <v>32</v>
      </c>
      <c r="B16" s="3">
        <v>46298</v>
      </c>
      <c r="C16" t="s">
        <v>8</v>
      </c>
      <c r="D16" t="s">
        <v>9</v>
      </c>
      <c r="E16" s="2">
        <v>18000</v>
      </c>
      <c r="F16" s="5">
        <v>3</v>
      </c>
      <c r="G16" s="5" t="s">
        <v>10</v>
      </c>
      <c r="H16" s="2">
        <f t="shared" si="0"/>
        <v>54000</v>
      </c>
      <c r="J16" s="29" t="str">
        <v>Matcha Latte</v>
      </c>
      <c r="K16" s="29" cm="1">
        <f t="array" ref="K16">SUMPRODUCT(($C$4:$C$53=$J16)*$F$4:$F$53)</f>
        <v>12</v>
      </c>
      <c r="L16" s="29" t="str">
        <f t="shared" si="1"/>
        <v/>
      </c>
    </row>
    <row r="17" spans="1:12" ht="15.6" thickTop="1" thickBot="1" x14ac:dyDescent="0.35">
      <c r="A17" s="1" t="s">
        <v>33</v>
      </c>
      <c r="B17" s="3">
        <v>46298</v>
      </c>
      <c r="C17" t="s">
        <v>21</v>
      </c>
      <c r="D17" t="s">
        <v>9</v>
      </c>
      <c r="E17" s="2">
        <v>28000</v>
      </c>
      <c r="F17" s="5">
        <v>1</v>
      </c>
      <c r="G17" s="5" t="s">
        <v>13</v>
      </c>
      <c r="H17" s="2">
        <f t="shared" si="0"/>
        <v>28000</v>
      </c>
      <c r="J17" s="29" t="str">
        <v>Chocolate Cake</v>
      </c>
      <c r="K17" s="29" cm="1">
        <f t="array" ref="K17">SUMPRODUCT(($C$4:$C$53=$J17)*$F$4:$F$53)</f>
        <v>9</v>
      </c>
      <c r="L17" s="29" t="str">
        <f t="shared" si="1"/>
        <v/>
      </c>
    </row>
    <row r="18" spans="1:12" ht="15.6" thickTop="1" thickBot="1" x14ac:dyDescent="0.35">
      <c r="A18" s="1" t="s">
        <v>34</v>
      </c>
      <c r="B18" s="3">
        <v>46298</v>
      </c>
      <c r="C18" t="s">
        <v>27</v>
      </c>
      <c r="D18" t="s">
        <v>19</v>
      </c>
      <c r="E18" s="2">
        <v>32000</v>
      </c>
      <c r="F18" s="5">
        <v>1</v>
      </c>
      <c r="G18" s="5" t="s">
        <v>10</v>
      </c>
      <c r="H18" s="2">
        <f t="shared" si="0"/>
        <v>32000</v>
      </c>
      <c r="J18" s="29" t="str">
        <v>Chicken Sandwich</v>
      </c>
      <c r="K18" s="29" cm="1">
        <f t="array" ref="K18">SUMPRODUCT(($C$4:$C$53=$J18)*$F$4:$F$53)</f>
        <v>9</v>
      </c>
      <c r="L18" s="29" t="str">
        <f t="shared" si="1"/>
        <v/>
      </c>
    </row>
    <row r="19" spans="1:12" ht="15.6" thickTop="1" thickBot="1" x14ac:dyDescent="0.35">
      <c r="A19" s="1" t="s">
        <v>35</v>
      </c>
      <c r="B19" s="3">
        <v>46299</v>
      </c>
      <c r="C19" t="s">
        <v>15</v>
      </c>
      <c r="D19" t="s">
        <v>9</v>
      </c>
      <c r="E19" s="2">
        <v>25000</v>
      </c>
      <c r="F19" s="5">
        <v>4</v>
      </c>
      <c r="G19" s="5" t="s">
        <v>10</v>
      </c>
      <c r="H19" s="2">
        <f t="shared" si="0"/>
        <v>100000</v>
      </c>
      <c r="J19" s="29" t="str">
        <v>Es Kopi Susu</v>
      </c>
      <c r="K19" s="29" cm="1">
        <f t="array" ref="K19">SUMPRODUCT(($C$4:$C$53=$J19)*$F$4:$F$53)</f>
        <v>28</v>
      </c>
      <c r="L19" s="29" t="str">
        <f t="shared" si="1"/>
        <v>Es Kopi Susu</v>
      </c>
    </row>
    <row r="20" spans="1:12" ht="15" thickTop="1" x14ac:dyDescent="0.3">
      <c r="A20" s="1" t="s">
        <v>36</v>
      </c>
      <c r="B20" s="3">
        <v>46299</v>
      </c>
      <c r="C20" t="s">
        <v>29</v>
      </c>
      <c r="D20" t="s">
        <v>9</v>
      </c>
      <c r="E20" s="2">
        <v>22000</v>
      </c>
      <c r="F20" s="5">
        <v>3</v>
      </c>
      <c r="G20" s="5" t="s">
        <v>16</v>
      </c>
      <c r="H20" s="2">
        <f t="shared" si="0"/>
        <v>66000</v>
      </c>
    </row>
    <row r="21" spans="1:12" ht="15" thickBot="1" x14ac:dyDescent="0.35">
      <c r="A21" s="1" t="s">
        <v>37</v>
      </c>
      <c r="B21" s="3">
        <v>46299</v>
      </c>
      <c r="C21" t="s">
        <v>24</v>
      </c>
      <c r="D21" t="s">
        <v>19</v>
      </c>
      <c r="E21" s="2">
        <v>22000</v>
      </c>
      <c r="F21" s="5">
        <v>2</v>
      </c>
      <c r="G21" s="5" t="s">
        <v>13</v>
      </c>
      <c r="H21" s="2">
        <f t="shared" si="0"/>
        <v>44000</v>
      </c>
      <c r="J21" s="92" t="s">
        <v>197</v>
      </c>
      <c r="K21" s="92"/>
    </row>
    <row r="22" spans="1:12" ht="15.6" thickTop="1" thickBot="1" x14ac:dyDescent="0.35">
      <c r="A22" s="1" t="s">
        <v>38</v>
      </c>
      <c r="B22" s="3">
        <v>46299</v>
      </c>
      <c r="C22" t="s">
        <v>8</v>
      </c>
      <c r="D22" t="s">
        <v>9</v>
      </c>
      <c r="E22" s="2">
        <v>18000</v>
      </c>
      <c r="F22" s="5">
        <v>2</v>
      </c>
      <c r="G22" s="5" t="s">
        <v>16</v>
      </c>
      <c r="H22" s="2">
        <f t="shared" si="0"/>
        <v>36000</v>
      </c>
      <c r="I22" s="11"/>
      <c r="J22" s="28" t="s">
        <v>79</v>
      </c>
      <c r="K22" s="28" t="s">
        <v>80</v>
      </c>
    </row>
    <row r="23" spans="1:12" ht="15.6" thickTop="1" thickBot="1" x14ac:dyDescent="0.35">
      <c r="A23" s="1" t="s">
        <v>39</v>
      </c>
      <c r="B23" s="3">
        <v>46299</v>
      </c>
      <c r="C23" t="s">
        <v>21</v>
      </c>
      <c r="D23" t="s">
        <v>9</v>
      </c>
      <c r="E23" s="2">
        <v>28000</v>
      </c>
      <c r="F23" s="5">
        <v>2</v>
      </c>
      <c r="G23" s="5" t="s">
        <v>10</v>
      </c>
      <c r="H23" s="2">
        <f t="shared" si="0"/>
        <v>56000</v>
      </c>
      <c r="J23" s="29" t="s">
        <v>18</v>
      </c>
      <c r="K23" s="29">
        <f>SUMIF($J$12:$J$19, J23, $K$12:$K$19)</f>
        <v>14</v>
      </c>
    </row>
    <row r="24" spans="1:12" ht="15.6" thickTop="1" thickBot="1" x14ac:dyDescent="0.35">
      <c r="A24" s="1" t="s">
        <v>40</v>
      </c>
      <c r="B24" s="3">
        <v>46300</v>
      </c>
      <c r="C24" t="s">
        <v>12</v>
      </c>
      <c r="D24" t="s">
        <v>9</v>
      </c>
      <c r="E24" s="2">
        <v>25000</v>
      </c>
      <c r="F24" s="5">
        <v>3</v>
      </c>
      <c r="G24" s="5" t="s">
        <v>10</v>
      </c>
      <c r="H24" s="2">
        <f t="shared" si="0"/>
        <v>75000</v>
      </c>
    </row>
    <row r="25" spans="1:12" ht="15.6" thickTop="1" thickBot="1" x14ac:dyDescent="0.35">
      <c r="A25" s="1" t="s">
        <v>41</v>
      </c>
      <c r="B25" s="3">
        <v>46300</v>
      </c>
      <c r="C25" t="s">
        <v>18</v>
      </c>
      <c r="D25" t="s">
        <v>19</v>
      </c>
      <c r="E25" s="2">
        <v>20000</v>
      </c>
      <c r="F25" s="5">
        <v>2</v>
      </c>
      <c r="G25" s="5" t="s">
        <v>16</v>
      </c>
      <c r="H25" s="2">
        <f t="shared" si="0"/>
        <v>40000</v>
      </c>
      <c r="J25" s="28" t="s">
        <v>331</v>
      </c>
      <c r="K25" s="29">
        <f>MAX(K12:K19)</f>
        <v>28</v>
      </c>
    </row>
    <row r="26" spans="1:12" ht="15.6" thickTop="1" thickBot="1" x14ac:dyDescent="0.35">
      <c r="A26" s="1" t="s">
        <v>42</v>
      </c>
      <c r="B26" s="3">
        <v>46300</v>
      </c>
      <c r="C26" t="s">
        <v>15</v>
      </c>
      <c r="D26" t="s">
        <v>9</v>
      </c>
      <c r="E26" s="2">
        <v>25000</v>
      </c>
      <c r="F26" s="5">
        <v>2</v>
      </c>
      <c r="G26" s="5" t="s">
        <v>13</v>
      </c>
      <c r="H26" s="2">
        <f t="shared" si="0"/>
        <v>50000</v>
      </c>
      <c r="J26" s="28" t="s">
        <v>332</v>
      </c>
      <c r="K26" s="29">
        <f>MIN(K12:K19)</f>
        <v>9</v>
      </c>
    </row>
    <row r="27" spans="1:12" ht="15.6" thickTop="1" thickBot="1" x14ac:dyDescent="0.35">
      <c r="A27" s="1" t="s">
        <v>43</v>
      </c>
      <c r="B27" s="3">
        <v>46300</v>
      </c>
      <c r="C27" t="s">
        <v>27</v>
      </c>
      <c r="D27" t="s">
        <v>19</v>
      </c>
      <c r="E27" s="2">
        <v>32000</v>
      </c>
      <c r="F27" s="5">
        <v>3</v>
      </c>
      <c r="G27" s="5" t="s">
        <v>10</v>
      </c>
      <c r="H27" s="2">
        <f t="shared" si="0"/>
        <v>96000</v>
      </c>
      <c r="J27" s="28" t="s">
        <v>333</v>
      </c>
      <c r="K27" s="84">
        <f>AVERAGE(K12:K19)</f>
        <v>15.5</v>
      </c>
    </row>
    <row r="28" spans="1:12" ht="15" thickTop="1" x14ac:dyDescent="0.3">
      <c r="A28" s="1" t="s">
        <v>44</v>
      </c>
      <c r="B28" s="3">
        <v>46300</v>
      </c>
      <c r="C28" t="s">
        <v>29</v>
      </c>
      <c r="D28" t="s">
        <v>9</v>
      </c>
      <c r="E28" s="2">
        <v>22000</v>
      </c>
      <c r="F28" s="5">
        <v>4</v>
      </c>
      <c r="G28" s="5" t="s">
        <v>16</v>
      </c>
      <c r="H28" s="2">
        <f t="shared" si="0"/>
        <v>88000</v>
      </c>
      <c r="K28" s="2"/>
    </row>
    <row r="29" spans="1:12" ht="15" thickBot="1" x14ac:dyDescent="0.35">
      <c r="A29" s="1" t="s">
        <v>45</v>
      </c>
      <c r="B29" s="3">
        <v>46301</v>
      </c>
      <c r="C29" t="s">
        <v>8</v>
      </c>
      <c r="D29" t="s">
        <v>9</v>
      </c>
      <c r="E29" s="2">
        <v>18000</v>
      </c>
      <c r="F29" s="5">
        <v>3</v>
      </c>
      <c r="G29" s="5" t="s">
        <v>10</v>
      </c>
      <c r="H29" s="2">
        <f t="shared" si="0"/>
        <v>54000</v>
      </c>
    </row>
    <row r="30" spans="1:12" ht="15.6" thickTop="1" thickBot="1" x14ac:dyDescent="0.35">
      <c r="A30" s="1" t="s">
        <v>46</v>
      </c>
      <c r="B30" s="3">
        <v>46301</v>
      </c>
      <c r="C30" t="s">
        <v>24</v>
      </c>
      <c r="D30" t="s">
        <v>19</v>
      </c>
      <c r="E30" s="2">
        <v>22000</v>
      </c>
      <c r="F30" s="5">
        <v>2</v>
      </c>
      <c r="G30" s="5" t="s">
        <v>16</v>
      </c>
      <c r="H30" s="2">
        <f t="shared" si="0"/>
        <v>44000</v>
      </c>
      <c r="J30" s="28" t="s">
        <v>327</v>
      </c>
      <c r="K30" s="80">
        <f>IFERROR(GETPIVOTDATA("Sum of nilai_transaksi",'04_Pivot_Table'!$D$1),0)</f>
        <v>2878000</v>
      </c>
    </row>
    <row r="31" spans="1:12" ht="15.6" thickTop="1" thickBot="1" x14ac:dyDescent="0.35">
      <c r="A31" s="1" t="s">
        <v>47</v>
      </c>
      <c r="B31" s="3">
        <v>46301</v>
      </c>
      <c r="C31" t="s">
        <v>21</v>
      </c>
      <c r="D31" t="s">
        <v>9</v>
      </c>
      <c r="E31" s="2">
        <v>28000</v>
      </c>
      <c r="F31" s="5">
        <v>3</v>
      </c>
      <c r="G31" s="5" t="s">
        <v>13</v>
      </c>
      <c r="H31" s="2">
        <f t="shared" si="0"/>
        <v>84000</v>
      </c>
      <c r="J31" s="28" t="s">
        <v>328</v>
      </c>
      <c r="K31" s="81">
        <f>IFERROR(GETPIVOTDATA("Count of order_id",'04_Pivot_Table'!$J$4),0)</f>
        <v>50</v>
      </c>
    </row>
    <row r="32" spans="1:12" ht="15.6" thickTop="1" thickBot="1" x14ac:dyDescent="0.35">
      <c r="A32" s="1" t="s">
        <v>48</v>
      </c>
      <c r="B32" s="3">
        <v>46301</v>
      </c>
      <c r="C32" t="s">
        <v>15</v>
      </c>
      <c r="D32" t="s">
        <v>9</v>
      </c>
      <c r="E32" s="2">
        <v>25000</v>
      </c>
      <c r="F32" s="5">
        <v>1</v>
      </c>
      <c r="G32" s="5" t="s">
        <v>10</v>
      </c>
      <c r="H32" s="2">
        <f t="shared" si="0"/>
        <v>25000</v>
      </c>
      <c r="J32" s="28" t="s">
        <v>329</v>
      </c>
      <c r="K32" s="82">
        <f>IFERROR(GETPIVOTDATA("Sum of jumlah_terjual",'04_Pivot_Table'!$A$1),0)</f>
        <v>124</v>
      </c>
    </row>
    <row r="33" spans="1:11" ht="15.6" thickTop="1" thickBot="1" x14ac:dyDescent="0.35">
      <c r="A33" s="1" t="s">
        <v>49</v>
      </c>
      <c r="B33" s="3">
        <v>46301</v>
      </c>
      <c r="C33" t="s">
        <v>18</v>
      </c>
      <c r="D33" t="s">
        <v>19</v>
      </c>
      <c r="E33" s="2">
        <v>20000</v>
      </c>
      <c r="F33" s="5">
        <v>4</v>
      </c>
      <c r="G33" s="5" t="s">
        <v>13</v>
      </c>
      <c r="H33" s="2">
        <f t="shared" si="0"/>
        <v>80000</v>
      </c>
      <c r="J33" s="28" t="s">
        <v>330</v>
      </c>
      <c r="K33" s="83">
        <f>IFERROR(GETPIVOTDATA("Average of nilai_transaksi",'04_Pivot_Table'!$G$1),0)</f>
        <v>57560</v>
      </c>
    </row>
    <row r="34" spans="1:11" ht="15" thickTop="1" x14ac:dyDescent="0.3">
      <c r="A34" s="1" t="s">
        <v>50</v>
      </c>
      <c r="B34" s="3">
        <v>46302</v>
      </c>
      <c r="C34" t="s">
        <v>29</v>
      </c>
      <c r="D34" t="s">
        <v>9</v>
      </c>
      <c r="E34" s="2">
        <v>22000</v>
      </c>
      <c r="F34" s="5">
        <v>6</v>
      </c>
      <c r="G34" s="5" t="s">
        <v>10</v>
      </c>
      <c r="H34" s="2">
        <f t="shared" si="0"/>
        <v>132000</v>
      </c>
    </row>
    <row r="35" spans="1:11" x14ac:dyDescent="0.3">
      <c r="A35" s="1" t="s">
        <v>51</v>
      </c>
      <c r="B35" s="3">
        <v>46302</v>
      </c>
      <c r="C35" t="s">
        <v>12</v>
      </c>
      <c r="D35" t="s">
        <v>9</v>
      </c>
      <c r="E35" s="2">
        <v>25000</v>
      </c>
      <c r="F35" s="5">
        <v>2</v>
      </c>
      <c r="G35" s="5" t="s">
        <v>16</v>
      </c>
      <c r="H35" s="2">
        <f t="shared" si="0"/>
        <v>50000</v>
      </c>
    </row>
    <row r="36" spans="1:11" x14ac:dyDescent="0.3">
      <c r="A36" s="1" t="s">
        <v>52</v>
      </c>
      <c r="B36" s="3">
        <v>46302</v>
      </c>
      <c r="C36" t="s">
        <v>27</v>
      </c>
      <c r="D36" t="s">
        <v>19</v>
      </c>
      <c r="E36" s="2">
        <v>32000</v>
      </c>
      <c r="F36" s="5">
        <v>2</v>
      </c>
      <c r="G36" s="5" t="s">
        <v>13</v>
      </c>
      <c r="H36" s="2">
        <f t="shared" ref="H36:H53" si="2">E36*F36</f>
        <v>64000</v>
      </c>
    </row>
    <row r="37" spans="1:11" x14ac:dyDescent="0.3">
      <c r="A37" s="1" t="s">
        <v>53</v>
      </c>
      <c r="B37" s="3">
        <v>46302</v>
      </c>
      <c r="C37" t="s">
        <v>8</v>
      </c>
      <c r="D37" t="s">
        <v>9</v>
      </c>
      <c r="E37" s="2">
        <v>18000</v>
      </c>
      <c r="F37" s="5">
        <v>1</v>
      </c>
      <c r="G37" s="5" t="s">
        <v>10</v>
      </c>
      <c r="H37" s="2">
        <f t="shared" si="2"/>
        <v>18000</v>
      </c>
    </row>
    <row r="38" spans="1:11" x14ac:dyDescent="0.3">
      <c r="A38" s="1" t="s">
        <v>54</v>
      </c>
      <c r="B38" s="3">
        <v>46302</v>
      </c>
      <c r="C38" t="s">
        <v>21</v>
      </c>
      <c r="D38" t="s">
        <v>9</v>
      </c>
      <c r="E38" s="2">
        <v>28000</v>
      </c>
      <c r="F38" s="5">
        <v>2</v>
      </c>
      <c r="G38" s="5" t="s">
        <v>16</v>
      </c>
      <c r="H38" s="2">
        <f t="shared" si="2"/>
        <v>56000</v>
      </c>
    </row>
    <row r="39" spans="1:11" x14ac:dyDescent="0.3">
      <c r="A39" s="1" t="s">
        <v>55</v>
      </c>
      <c r="B39" s="3">
        <v>46303</v>
      </c>
      <c r="C39" t="s">
        <v>15</v>
      </c>
      <c r="D39" t="s">
        <v>9</v>
      </c>
      <c r="E39" s="2">
        <v>25000</v>
      </c>
      <c r="F39" s="5">
        <v>3</v>
      </c>
      <c r="G39" s="5" t="s">
        <v>10</v>
      </c>
      <c r="H39" s="2">
        <f t="shared" si="2"/>
        <v>75000</v>
      </c>
    </row>
    <row r="40" spans="1:11" x14ac:dyDescent="0.3">
      <c r="A40" s="1" t="s">
        <v>56</v>
      </c>
      <c r="B40" s="3">
        <v>46303</v>
      </c>
      <c r="C40" t="s">
        <v>18</v>
      </c>
      <c r="D40" t="s">
        <v>19</v>
      </c>
      <c r="E40" s="2">
        <v>20000</v>
      </c>
      <c r="F40" s="5">
        <v>1</v>
      </c>
      <c r="G40" s="5" t="s">
        <v>13</v>
      </c>
      <c r="H40" s="2">
        <f t="shared" si="2"/>
        <v>20000</v>
      </c>
    </row>
    <row r="41" spans="1:11" x14ac:dyDescent="0.3">
      <c r="A41" s="1" t="s">
        <v>57</v>
      </c>
      <c r="B41" s="3">
        <v>46303</v>
      </c>
      <c r="C41" t="s">
        <v>29</v>
      </c>
      <c r="D41" t="s">
        <v>9</v>
      </c>
      <c r="E41" s="2">
        <v>22000</v>
      </c>
      <c r="F41" s="5">
        <v>4</v>
      </c>
      <c r="G41" s="5" t="s">
        <v>16</v>
      </c>
      <c r="H41" s="2">
        <f t="shared" si="2"/>
        <v>88000</v>
      </c>
    </row>
    <row r="42" spans="1:11" x14ac:dyDescent="0.3">
      <c r="A42" s="1" t="s">
        <v>58</v>
      </c>
      <c r="B42" s="3">
        <v>46303</v>
      </c>
      <c r="C42" t="s">
        <v>24</v>
      </c>
      <c r="D42" t="s">
        <v>19</v>
      </c>
      <c r="E42" s="2">
        <v>22000</v>
      </c>
      <c r="F42" s="5">
        <v>3</v>
      </c>
      <c r="G42" s="5" t="s">
        <v>10</v>
      </c>
      <c r="H42" s="2">
        <f t="shared" si="2"/>
        <v>66000</v>
      </c>
    </row>
    <row r="43" spans="1:11" x14ac:dyDescent="0.3">
      <c r="A43" s="1" t="s">
        <v>59</v>
      </c>
      <c r="B43" s="3">
        <v>46303</v>
      </c>
      <c r="C43" t="s">
        <v>12</v>
      </c>
      <c r="D43" t="s">
        <v>9</v>
      </c>
      <c r="E43" s="2">
        <v>25000</v>
      </c>
      <c r="F43" s="5">
        <v>1</v>
      </c>
      <c r="G43" s="5" t="s">
        <v>13</v>
      </c>
      <c r="H43" s="2">
        <f t="shared" si="2"/>
        <v>25000</v>
      </c>
    </row>
    <row r="44" spans="1:11" x14ac:dyDescent="0.3">
      <c r="A44" s="1" t="s">
        <v>60</v>
      </c>
      <c r="B44" s="3">
        <v>46304</v>
      </c>
      <c r="C44" t="s">
        <v>8</v>
      </c>
      <c r="D44" t="s">
        <v>9</v>
      </c>
      <c r="E44" s="2">
        <v>18000</v>
      </c>
      <c r="F44" s="5">
        <v>5</v>
      </c>
      <c r="G44" s="5" t="s">
        <v>10</v>
      </c>
      <c r="H44" s="2">
        <f t="shared" si="2"/>
        <v>90000</v>
      </c>
    </row>
    <row r="45" spans="1:11" x14ac:dyDescent="0.3">
      <c r="A45" s="1" t="s">
        <v>61</v>
      </c>
      <c r="B45" s="3">
        <v>46304</v>
      </c>
      <c r="C45" t="s">
        <v>27</v>
      </c>
      <c r="D45" t="s">
        <v>19</v>
      </c>
      <c r="E45" s="2">
        <v>32000</v>
      </c>
      <c r="F45" s="5">
        <v>1</v>
      </c>
      <c r="G45" s="5" t="s">
        <v>16</v>
      </c>
      <c r="H45" s="2">
        <f t="shared" si="2"/>
        <v>32000</v>
      </c>
    </row>
    <row r="46" spans="1:11" x14ac:dyDescent="0.3">
      <c r="A46" s="1" t="s">
        <v>62</v>
      </c>
      <c r="B46" s="3">
        <v>46304</v>
      </c>
      <c r="C46" t="s">
        <v>15</v>
      </c>
      <c r="D46" t="s">
        <v>9</v>
      </c>
      <c r="E46" s="2">
        <v>25000</v>
      </c>
      <c r="F46" s="5">
        <v>2</v>
      </c>
      <c r="G46" s="5" t="s">
        <v>13</v>
      </c>
      <c r="H46" s="2">
        <f t="shared" si="2"/>
        <v>50000</v>
      </c>
    </row>
    <row r="47" spans="1:11" x14ac:dyDescent="0.3">
      <c r="A47" s="1" t="s">
        <v>63</v>
      </c>
      <c r="B47" s="3">
        <v>46304</v>
      </c>
      <c r="C47" t="s">
        <v>21</v>
      </c>
      <c r="D47" t="s">
        <v>9</v>
      </c>
      <c r="E47" s="2">
        <v>28000</v>
      </c>
      <c r="F47" s="5">
        <v>2</v>
      </c>
      <c r="G47" s="5" t="s">
        <v>10</v>
      </c>
      <c r="H47" s="2">
        <f t="shared" si="2"/>
        <v>56000</v>
      </c>
    </row>
    <row r="48" spans="1:11" x14ac:dyDescent="0.3">
      <c r="A48" s="1" t="s">
        <v>64</v>
      </c>
      <c r="B48" s="3">
        <v>46304</v>
      </c>
      <c r="C48" t="s">
        <v>29</v>
      </c>
      <c r="D48" t="s">
        <v>9</v>
      </c>
      <c r="E48" s="2">
        <v>22000</v>
      </c>
      <c r="F48" s="5">
        <v>3</v>
      </c>
      <c r="G48" s="5" t="s">
        <v>16</v>
      </c>
      <c r="H48" s="2">
        <f t="shared" si="2"/>
        <v>66000</v>
      </c>
    </row>
    <row r="49" spans="1:8" x14ac:dyDescent="0.3">
      <c r="A49" s="1" t="s">
        <v>65</v>
      </c>
      <c r="B49" s="3">
        <v>46305</v>
      </c>
      <c r="C49" t="s">
        <v>12</v>
      </c>
      <c r="D49" t="s">
        <v>9</v>
      </c>
      <c r="E49" s="2">
        <v>25000</v>
      </c>
      <c r="F49" s="5">
        <v>4</v>
      </c>
      <c r="G49" s="5" t="s">
        <v>10</v>
      </c>
      <c r="H49" s="2">
        <f t="shared" si="2"/>
        <v>100000</v>
      </c>
    </row>
    <row r="50" spans="1:8" x14ac:dyDescent="0.3">
      <c r="A50" s="1" t="s">
        <v>66</v>
      </c>
      <c r="B50" s="3">
        <v>46305</v>
      </c>
      <c r="C50" t="s">
        <v>18</v>
      </c>
      <c r="D50" t="s">
        <v>19</v>
      </c>
      <c r="E50" s="2">
        <v>20000</v>
      </c>
      <c r="F50" s="5">
        <v>2</v>
      </c>
      <c r="G50" s="5" t="s">
        <v>16</v>
      </c>
      <c r="H50" s="2">
        <f t="shared" si="2"/>
        <v>40000</v>
      </c>
    </row>
    <row r="51" spans="1:8" x14ac:dyDescent="0.3">
      <c r="A51" s="1" t="s">
        <v>67</v>
      </c>
      <c r="B51" s="3">
        <v>46305</v>
      </c>
      <c r="C51" t="s">
        <v>15</v>
      </c>
      <c r="D51" t="s">
        <v>9</v>
      </c>
      <c r="E51" s="2">
        <v>25000</v>
      </c>
      <c r="F51" s="5">
        <v>2</v>
      </c>
      <c r="G51" s="5" t="s">
        <v>10</v>
      </c>
      <c r="H51" s="2">
        <f t="shared" si="2"/>
        <v>50000</v>
      </c>
    </row>
    <row r="52" spans="1:8" x14ac:dyDescent="0.3">
      <c r="A52" s="1" t="s">
        <v>68</v>
      </c>
      <c r="B52" s="3">
        <v>46305</v>
      </c>
      <c r="C52" t="s">
        <v>24</v>
      </c>
      <c r="D52" t="s">
        <v>19</v>
      </c>
      <c r="E52" s="2">
        <v>22000</v>
      </c>
      <c r="F52" s="5">
        <v>1</v>
      </c>
      <c r="G52" s="5" t="s">
        <v>13</v>
      </c>
      <c r="H52" s="2">
        <f t="shared" si="2"/>
        <v>22000</v>
      </c>
    </row>
    <row r="53" spans="1:8" x14ac:dyDescent="0.3">
      <c r="A53" s="1" t="s">
        <v>69</v>
      </c>
      <c r="B53" s="3">
        <v>46305</v>
      </c>
      <c r="C53" t="s">
        <v>29</v>
      </c>
      <c r="D53" t="s">
        <v>9</v>
      </c>
      <c r="E53" s="2">
        <v>22000</v>
      </c>
      <c r="F53" s="5">
        <v>3</v>
      </c>
      <c r="G53" s="5" t="s">
        <v>10</v>
      </c>
      <c r="H53" s="2">
        <f t="shared" si="2"/>
        <v>66000</v>
      </c>
    </row>
  </sheetData>
  <mergeCells count="7">
    <mergeCell ref="J21:K21"/>
    <mergeCell ref="A1:H1"/>
    <mergeCell ref="N14:P14"/>
    <mergeCell ref="N9:O9"/>
    <mergeCell ref="J2:L2"/>
    <mergeCell ref="N2:O2"/>
    <mergeCell ref="J10:L10"/>
  </mergeCells>
  <dataValidations count="1">
    <dataValidation type="list" allowBlank="1" showInputMessage="1" showErrorMessage="1" sqref="J23" xr:uid="{E6A4804B-5B8A-4CE9-95D7-E015B56E95DA}">
      <formula1>$J$12:$J$19</formula1>
    </dataValidation>
  </dataValidations>
  <pageMargins left="0.7" right="0.7" top="0.75" bottom="0.75" header="0.3" footer="0.3"/>
  <pageSetup orientation="portrait" r:id="rId1"/>
  <tableParts count="4">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675E8-99ED-486B-913F-0B2D90A49294}">
  <dimension ref="A1:K24"/>
  <sheetViews>
    <sheetView workbookViewId="0">
      <selection activeCell="M27" sqref="M27"/>
    </sheetView>
  </sheetViews>
  <sheetFormatPr defaultRowHeight="14.4" x14ac:dyDescent="0.3"/>
  <cols>
    <col min="1" max="1" width="12.5546875" bestFit="1" customWidth="1"/>
    <col min="2" max="2" width="19.5546875" bestFit="1" customWidth="1"/>
    <col min="4" max="4" width="15.5546875" bestFit="1" customWidth="1"/>
    <col min="5" max="5" width="19.5546875" bestFit="1" customWidth="1"/>
    <col min="7" max="7" width="12.5546875" bestFit="1" customWidth="1"/>
    <col min="8" max="8" width="23.21875" bestFit="1" customWidth="1"/>
    <col min="10" max="10" width="12.5546875" bestFit="1" customWidth="1"/>
    <col min="11" max="11" width="16" bestFit="1" customWidth="1"/>
  </cols>
  <sheetData>
    <row r="1" spans="1:11" x14ac:dyDescent="0.3">
      <c r="A1" s="8" t="s">
        <v>76</v>
      </c>
      <c r="B1" t="s">
        <v>78</v>
      </c>
      <c r="D1" s="8" t="s">
        <v>76</v>
      </c>
      <c r="E1" t="s">
        <v>86</v>
      </c>
      <c r="G1" s="8" t="s">
        <v>76</v>
      </c>
      <c r="H1" t="s">
        <v>87</v>
      </c>
    </row>
    <row r="2" spans="1:11" x14ac:dyDescent="0.3">
      <c r="A2" s="9" t="s">
        <v>24</v>
      </c>
      <c r="B2" s="10">
        <v>9</v>
      </c>
      <c r="D2" s="9" t="s">
        <v>19</v>
      </c>
      <c r="E2" s="2">
        <v>766000</v>
      </c>
      <c r="G2" s="9" t="s">
        <v>19</v>
      </c>
      <c r="H2" s="2">
        <v>47875</v>
      </c>
    </row>
    <row r="3" spans="1:11" x14ac:dyDescent="0.3">
      <c r="A3" s="9" t="s">
        <v>27</v>
      </c>
      <c r="B3" s="10">
        <v>9</v>
      </c>
      <c r="D3" s="9" t="s">
        <v>9</v>
      </c>
      <c r="E3" s="2">
        <v>2112000</v>
      </c>
      <c r="G3" s="9" t="s">
        <v>9</v>
      </c>
      <c r="H3" s="2">
        <v>62117.647058823532</v>
      </c>
    </row>
    <row r="4" spans="1:11" x14ac:dyDescent="0.3">
      <c r="A4" s="9" t="s">
        <v>21</v>
      </c>
      <c r="B4" s="10">
        <v>12</v>
      </c>
      <c r="D4" s="9" t="s">
        <v>77</v>
      </c>
      <c r="E4" s="2">
        <v>2878000</v>
      </c>
      <c r="G4" s="9" t="s">
        <v>77</v>
      </c>
      <c r="H4" s="2">
        <v>57560</v>
      </c>
      <c r="J4" s="8" t="s">
        <v>76</v>
      </c>
      <c r="K4" t="s">
        <v>89</v>
      </c>
    </row>
    <row r="5" spans="1:11" x14ac:dyDescent="0.3">
      <c r="A5" s="9" t="s">
        <v>12</v>
      </c>
      <c r="B5" s="10">
        <v>13</v>
      </c>
      <c r="J5" s="9" t="s">
        <v>16</v>
      </c>
      <c r="K5" s="10">
        <v>15</v>
      </c>
    </row>
    <row r="6" spans="1:11" x14ac:dyDescent="0.3">
      <c r="A6" s="9" t="s">
        <v>18</v>
      </c>
      <c r="B6" s="10">
        <v>14</v>
      </c>
      <c r="J6" s="9" t="s">
        <v>10</v>
      </c>
      <c r="K6" s="10">
        <v>22</v>
      </c>
    </row>
    <row r="7" spans="1:11" x14ac:dyDescent="0.3">
      <c r="A7" s="9" t="s">
        <v>15</v>
      </c>
      <c r="B7" s="10">
        <v>19</v>
      </c>
      <c r="D7" s="8" t="s">
        <v>76</v>
      </c>
      <c r="E7" t="s">
        <v>78</v>
      </c>
      <c r="G7" s="8" t="s">
        <v>76</v>
      </c>
      <c r="H7" t="s">
        <v>88</v>
      </c>
      <c r="J7" s="9" t="s">
        <v>13</v>
      </c>
      <c r="K7" s="10">
        <v>13</v>
      </c>
    </row>
    <row r="8" spans="1:11" x14ac:dyDescent="0.3">
      <c r="A8" s="9" t="s">
        <v>8</v>
      </c>
      <c r="B8" s="10">
        <v>20</v>
      </c>
      <c r="D8" s="9" t="s">
        <v>19</v>
      </c>
      <c r="E8" s="17">
        <v>32</v>
      </c>
      <c r="G8" s="9" t="s">
        <v>19</v>
      </c>
      <c r="H8" s="16">
        <v>2</v>
      </c>
      <c r="J8" s="9" t="s">
        <v>77</v>
      </c>
      <c r="K8" s="2">
        <v>50</v>
      </c>
    </row>
    <row r="9" spans="1:11" x14ac:dyDescent="0.3">
      <c r="A9" s="9" t="s">
        <v>29</v>
      </c>
      <c r="B9" s="10">
        <v>28</v>
      </c>
      <c r="D9" s="9" t="s">
        <v>9</v>
      </c>
      <c r="E9" s="17">
        <v>92</v>
      </c>
      <c r="G9" s="9" t="s">
        <v>9</v>
      </c>
      <c r="H9" s="16">
        <v>2.7058823529411766</v>
      </c>
    </row>
    <row r="10" spans="1:11" x14ac:dyDescent="0.3">
      <c r="A10" s="9" t="s">
        <v>77</v>
      </c>
      <c r="B10" s="10">
        <v>124</v>
      </c>
      <c r="D10" s="9" t="s">
        <v>77</v>
      </c>
      <c r="E10" s="17">
        <v>124</v>
      </c>
      <c r="G10" s="9" t="s">
        <v>77</v>
      </c>
      <c r="H10" s="10">
        <v>2.48</v>
      </c>
    </row>
    <row r="13" spans="1:11" x14ac:dyDescent="0.3">
      <c r="A13" s="8" t="s">
        <v>76</v>
      </c>
      <c r="B13" t="s">
        <v>86</v>
      </c>
      <c r="D13" s="8" t="s">
        <v>76</v>
      </c>
      <c r="E13" t="s">
        <v>86</v>
      </c>
    </row>
    <row r="14" spans="1:11" x14ac:dyDescent="0.3">
      <c r="A14" s="79">
        <v>46296</v>
      </c>
      <c r="B14" s="2">
        <v>232000</v>
      </c>
      <c r="D14" s="9" t="s">
        <v>24</v>
      </c>
      <c r="E14" s="2">
        <v>198000</v>
      </c>
    </row>
    <row r="15" spans="1:11" x14ac:dyDescent="0.3">
      <c r="A15" s="79">
        <v>46297</v>
      </c>
      <c r="B15" s="2">
        <v>318000</v>
      </c>
      <c r="D15" s="9" t="s">
        <v>18</v>
      </c>
      <c r="E15" s="2">
        <v>280000</v>
      </c>
    </row>
    <row r="16" spans="1:11" x14ac:dyDescent="0.3">
      <c r="A16" s="79">
        <v>46298</v>
      </c>
      <c r="B16" s="2">
        <v>224000</v>
      </c>
      <c r="D16" s="9" t="s">
        <v>27</v>
      </c>
      <c r="E16" s="2">
        <v>288000</v>
      </c>
    </row>
    <row r="17" spans="1:5" x14ac:dyDescent="0.3">
      <c r="A17" s="79">
        <v>46299</v>
      </c>
      <c r="B17" s="2">
        <v>302000</v>
      </c>
      <c r="D17" s="9" t="s">
        <v>12</v>
      </c>
      <c r="E17" s="2">
        <v>325000</v>
      </c>
    </row>
    <row r="18" spans="1:5" x14ac:dyDescent="0.3">
      <c r="A18" s="79">
        <v>46300</v>
      </c>
      <c r="B18" s="2">
        <v>349000</v>
      </c>
      <c r="D18" s="9" t="s">
        <v>21</v>
      </c>
      <c r="E18" s="2">
        <v>336000</v>
      </c>
    </row>
    <row r="19" spans="1:5" x14ac:dyDescent="0.3">
      <c r="A19" s="79">
        <v>46301</v>
      </c>
      <c r="B19" s="2">
        <v>287000</v>
      </c>
      <c r="D19" s="9" t="s">
        <v>8</v>
      </c>
      <c r="E19" s="2">
        <v>360000</v>
      </c>
    </row>
    <row r="20" spans="1:5" x14ac:dyDescent="0.3">
      <c r="A20" s="79">
        <v>46302</v>
      </c>
      <c r="B20" s="2">
        <v>320000</v>
      </c>
      <c r="D20" s="9" t="s">
        <v>15</v>
      </c>
      <c r="E20" s="2">
        <v>475000</v>
      </c>
    </row>
    <row r="21" spans="1:5" x14ac:dyDescent="0.3">
      <c r="A21" s="79">
        <v>46303</v>
      </c>
      <c r="B21" s="2">
        <v>274000</v>
      </c>
      <c r="D21" s="9" t="s">
        <v>29</v>
      </c>
      <c r="E21" s="2">
        <v>616000</v>
      </c>
    </row>
    <row r="22" spans="1:5" x14ac:dyDescent="0.3">
      <c r="A22" s="79">
        <v>46304</v>
      </c>
      <c r="B22" s="2">
        <v>294000</v>
      </c>
      <c r="D22" s="9" t="s">
        <v>77</v>
      </c>
      <c r="E22" s="2">
        <v>2878000</v>
      </c>
    </row>
    <row r="23" spans="1:5" x14ac:dyDescent="0.3">
      <c r="A23" s="79">
        <v>46305</v>
      </c>
      <c r="B23" s="2">
        <v>278000</v>
      </c>
    </row>
    <row r="24" spans="1:5" x14ac:dyDescent="0.3">
      <c r="A24" s="73" t="s">
        <v>77</v>
      </c>
      <c r="B24" s="2">
        <v>2878000</v>
      </c>
    </row>
  </sheetData>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86C23-20E7-4C65-8439-9304AA81F199}">
  <dimension ref="B1:AF6"/>
  <sheetViews>
    <sheetView showGridLines="0" zoomScale="70" zoomScaleNormal="70" workbookViewId="0">
      <selection activeCell="B1" sqref="B1:AF1"/>
    </sheetView>
  </sheetViews>
  <sheetFormatPr defaultRowHeight="14.4" x14ac:dyDescent="0.3"/>
  <cols>
    <col min="1" max="16384" width="8.88671875" style="78"/>
  </cols>
  <sheetData>
    <row r="1" spans="2:32" s="106" customFormat="1" ht="55.8" customHeight="1" x14ac:dyDescent="0.4">
      <c r="B1" s="107" t="s">
        <v>91</v>
      </c>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row>
    <row r="2" spans="2:32" ht="19.95" customHeight="1" x14ac:dyDescent="0.3"/>
    <row r="3" spans="2:32" ht="19.95" customHeight="1" x14ac:dyDescent="0.3"/>
    <row r="4" spans="2:32" ht="19.95" customHeight="1" x14ac:dyDescent="0.3"/>
    <row r="5" spans="2:32" ht="19.95" customHeight="1" x14ac:dyDescent="0.3"/>
    <row r="6" spans="2:32" ht="72" customHeight="1" x14ac:dyDescent="0.3"/>
  </sheetData>
  <mergeCells count="1">
    <mergeCell ref="B1:AF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8D2DE-EE40-4922-BEDD-94D3284B611B}">
  <dimension ref="A1:C22"/>
  <sheetViews>
    <sheetView zoomScaleNormal="100" workbookViewId="0">
      <selection activeCell="C4" sqref="C4"/>
    </sheetView>
  </sheetViews>
  <sheetFormatPr defaultRowHeight="14.4" x14ac:dyDescent="0.3"/>
  <cols>
    <col min="1" max="1" width="4.77734375" customWidth="1"/>
    <col min="2" max="2" width="24.6640625" customWidth="1"/>
    <col min="3" max="3" width="51.5546875" customWidth="1"/>
  </cols>
  <sheetData>
    <row r="1" spans="1:3" ht="18" x14ac:dyDescent="0.35">
      <c r="A1" s="93" t="s">
        <v>135</v>
      </c>
      <c r="B1" s="93"/>
      <c r="C1" s="93"/>
    </row>
    <row r="2" spans="1:3" ht="13.2" customHeight="1" x14ac:dyDescent="0.3"/>
    <row r="3" spans="1:3" ht="33" customHeight="1" x14ac:dyDescent="0.3">
      <c r="A3" s="6" t="s">
        <v>93</v>
      </c>
      <c r="B3" s="6" t="s">
        <v>70</v>
      </c>
      <c r="C3" s="6" t="s">
        <v>131</v>
      </c>
    </row>
    <row r="4" spans="1:3" ht="38.4" customHeight="1" x14ac:dyDescent="0.3">
      <c r="A4" s="6">
        <v>1</v>
      </c>
      <c r="B4" s="32" t="s">
        <v>132</v>
      </c>
      <c r="C4" s="32" t="str">
        <f>'03_Data Bersih + Analisis'!L19</f>
        <v>Es Kopi Susu</v>
      </c>
    </row>
    <row r="5" spans="1:3" x14ac:dyDescent="0.3">
      <c r="A5" s="6">
        <v>2</v>
      </c>
      <c r="B5" s="32" t="s">
        <v>133</v>
      </c>
      <c r="C5" s="68">
        <f>Table2[[#Totals],[Minuman]]</f>
        <v>2112000</v>
      </c>
    </row>
    <row r="6" spans="1:3" ht="28.8" x14ac:dyDescent="0.3">
      <c r="A6" s="6">
        <v>3</v>
      </c>
      <c r="B6" s="32" t="s">
        <v>134</v>
      </c>
      <c r="C6" s="68">
        <f>'03_Data Bersih + Analisis'!O6</f>
        <v>57560</v>
      </c>
    </row>
    <row r="9" spans="1:3" ht="18" x14ac:dyDescent="0.35">
      <c r="A9" s="93" t="s">
        <v>136</v>
      </c>
      <c r="B9" s="99"/>
      <c r="C9" s="99"/>
    </row>
    <row r="11" spans="1:3" x14ac:dyDescent="0.3">
      <c r="A11" s="63" t="s">
        <v>93</v>
      </c>
      <c r="B11" s="63" t="s">
        <v>137</v>
      </c>
      <c r="C11" s="63" t="s">
        <v>138</v>
      </c>
    </row>
    <row r="12" spans="1:3" ht="78" customHeight="1" x14ac:dyDescent="0.3">
      <c r="A12" s="62">
        <v>1</v>
      </c>
      <c r="B12" s="35" t="s">
        <v>357</v>
      </c>
      <c r="C12" s="33" t="s">
        <v>358</v>
      </c>
    </row>
    <row r="13" spans="1:3" ht="72" x14ac:dyDescent="0.3">
      <c r="A13" s="62">
        <v>2</v>
      </c>
      <c r="B13" s="35" t="s">
        <v>359</v>
      </c>
      <c r="C13" s="33" t="s">
        <v>360</v>
      </c>
    </row>
    <row r="14" spans="1:3" ht="89.4" customHeight="1" x14ac:dyDescent="0.3">
      <c r="A14" s="62">
        <v>3</v>
      </c>
      <c r="B14" s="35" t="s">
        <v>361</v>
      </c>
      <c r="C14" s="33" t="s">
        <v>362</v>
      </c>
    </row>
    <row r="15" spans="1:3" ht="67.2" customHeight="1" x14ac:dyDescent="0.3">
      <c r="A15" s="62">
        <v>4</v>
      </c>
      <c r="B15" s="35" t="s">
        <v>363</v>
      </c>
      <c r="C15" s="33" t="s">
        <v>364</v>
      </c>
    </row>
    <row r="16" spans="1:3" ht="105" customHeight="1" x14ac:dyDescent="0.3">
      <c r="A16" s="62">
        <v>5</v>
      </c>
      <c r="B16" s="64" t="s">
        <v>183</v>
      </c>
      <c r="C16" s="33" t="s">
        <v>365</v>
      </c>
    </row>
    <row r="17" spans="1:3" ht="134.4" customHeight="1" x14ac:dyDescent="0.3">
      <c r="A17" s="62">
        <v>6</v>
      </c>
      <c r="B17" s="35" t="s">
        <v>366</v>
      </c>
      <c r="C17" s="33" t="s">
        <v>367</v>
      </c>
    </row>
    <row r="18" spans="1:3" ht="19.2" customHeight="1" x14ac:dyDescent="0.3"/>
    <row r="19" spans="1:3" ht="20.399999999999999" customHeight="1" x14ac:dyDescent="0.3">
      <c r="A19" s="92" t="s">
        <v>184</v>
      </c>
      <c r="B19" s="92"/>
      <c r="C19" s="92"/>
    </row>
    <row r="20" spans="1:3" ht="24" customHeight="1" x14ac:dyDescent="0.3">
      <c r="A20" s="57">
        <v>1</v>
      </c>
      <c r="B20" s="104" t="s">
        <v>187</v>
      </c>
      <c r="C20" s="104"/>
    </row>
    <row r="21" spans="1:3" ht="34.799999999999997" customHeight="1" x14ac:dyDescent="0.3">
      <c r="A21" s="57">
        <v>2</v>
      </c>
      <c r="B21" s="104" t="s">
        <v>186</v>
      </c>
      <c r="C21" s="104"/>
    </row>
    <row r="22" spans="1:3" ht="40.200000000000003" customHeight="1" x14ac:dyDescent="0.3">
      <c r="A22" s="57">
        <v>3</v>
      </c>
      <c r="B22" s="104" t="s">
        <v>185</v>
      </c>
      <c r="C22" s="104"/>
    </row>
  </sheetData>
  <mergeCells count="6">
    <mergeCell ref="B22:C22"/>
    <mergeCell ref="A1:C1"/>
    <mergeCell ref="A9:C9"/>
    <mergeCell ref="A19:C19"/>
    <mergeCell ref="B20:C20"/>
    <mergeCell ref="B21:C21"/>
  </mergeCells>
  <pageMargins left="0.7" right="0.7" top="0.75" bottom="0.75" header="0.3" footer="0.3"/>
  <pageSetup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BAF60-657F-4CA9-A658-A358D6D04996}">
  <dimension ref="A1:D52"/>
  <sheetViews>
    <sheetView workbookViewId="0">
      <selection activeCell="G1" sqref="G1"/>
    </sheetView>
  </sheetViews>
  <sheetFormatPr defaultRowHeight="14.4" x14ac:dyDescent="0.3"/>
  <cols>
    <col min="2" max="2" width="27.77734375" bestFit="1" customWidth="1"/>
    <col min="3" max="3" width="34.6640625" customWidth="1"/>
    <col min="4" max="4" width="47.77734375" customWidth="1"/>
  </cols>
  <sheetData>
    <row r="1" spans="1:4" ht="15.6" x14ac:dyDescent="0.3">
      <c r="A1" s="101" t="s">
        <v>92</v>
      </c>
      <c r="B1" s="102"/>
      <c r="C1" s="102"/>
      <c r="D1" s="102"/>
    </row>
    <row r="2" spans="1:4" x14ac:dyDescent="0.3">
      <c r="A2" s="5" t="s">
        <v>93</v>
      </c>
      <c r="B2" s="7" t="s">
        <v>94</v>
      </c>
      <c r="C2" s="7" t="s">
        <v>95</v>
      </c>
      <c r="D2" s="7" t="s">
        <v>96</v>
      </c>
    </row>
    <row r="3" spans="1:4" x14ac:dyDescent="0.3">
      <c r="A3" s="57">
        <v>1</v>
      </c>
      <c r="B3" s="31" t="s">
        <v>97</v>
      </c>
      <c r="C3" s="37" t="s">
        <v>307</v>
      </c>
      <c r="D3" s="58" t="s">
        <v>323</v>
      </c>
    </row>
    <row r="4" spans="1:4" ht="28.8" x14ac:dyDescent="0.3">
      <c r="A4" s="57">
        <v>2</v>
      </c>
      <c r="B4" s="31" t="s">
        <v>198</v>
      </c>
      <c r="C4" s="36" t="s">
        <v>199</v>
      </c>
      <c r="D4" s="33" t="s">
        <v>99</v>
      </c>
    </row>
    <row r="5" spans="1:4" ht="28.8" x14ac:dyDescent="0.3">
      <c r="A5" s="57">
        <v>3</v>
      </c>
      <c r="B5" s="31" t="s">
        <v>98</v>
      </c>
      <c r="C5" s="37" t="s">
        <v>315</v>
      </c>
      <c r="D5" s="33" t="s">
        <v>316</v>
      </c>
    </row>
    <row r="8" spans="1:4" ht="15.6" x14ac:dyDescent="0.3">
      <c r="A8" s="100" t="s">
        <v>100</v>
      </c>
      <c r="B8" s="100"/>
      <c r="C8" s="100"/>
      <c r="D8" s="100"/>
    </row>
    <row r="9" spans="1:4" x14ac:dyDescent="0.3">
      <c r="A9" s="57" t="s">
        <v>93</v>
      </c>
      <c r="B9" s="59" t="s">
        <v>94</v>
      </c>
      <c r="C9" s="59" t="s">
        <v>95</v>
      </c>
      <c r="D9" s="59" t="s">
        <v>96</v>
      </c>
    </row>
    <row r="10" spans="1:4" x14ac:dyDescent="0.3">
      <c r="A10" s="57">
        <v>4</v>
      </c>
      <c r="B10" s="31" t="s">
        <v>101</v>
      </c>
      <c r="C10" s="37" t="s">
        <v>319</v>
      </c>
      <c r="D10" s="58" t="s">
        <v>105</v>
      </c>
    </row>
    <row r="11" spans="1:4" x14ac:dyDescent="0.3">
      <c r="A11" s="57">
        <v>5</v>
      </c>
      <c r="B11" s="31" t="s">
        <v>318</v>
      </c>
      <c r="C11" s="36" t="s">
        <v>308</v>
      </c>
      <c r="D11" s="33" t="s">
        <v>106</v>
      </c>
    </row>
    <row r="12" spans="1:4" ht="28.8" x14ac:dyDescent="0.3">
      <c r="A12" s="57">
        <v>6</v>
      </c>
      <c r="B12" s="31" t="s">
        <v>102</v>
      </c>
      <c r="C12" s="37" t="s">
        <v>309</v>
      </c>
      <c r="D12" s="33" t="s">
        <v>107</v>
      </c>
    </row>
    <row r="13" spans="1:4" ht="28.8" x14ac:dyDescent="0.3">
      <c r="A13" s="57">
        <v>7</v>
      </c>
      <c r="B13" s="31" t="s">
        <v>103</v>
      </c>
      <c r="C13" s="37" t="s">
        <v>310</v>
      </c>
      <c r="D13" s="33" t="s">
        <v>108</v>
      </c>
    </row>
    <row r="14" spans="1:4" ht="28.8" x14ac:dyDescent="0.3">
      <c r="A14" s="57">
        <v>8</v>
      </c>
      <c r="B14" s="31" t="s">
        <v>104</v>
      </c>
      <c r="C14" s="37" t="s">
        <v>311</v>
      </c>
      <c r="D14" s="33" t="s">
        <v>109</v>
      </c>
    </row>
    <row r="17" spans="1:4" ht="15.6" x14ac:dyDescent="0.3">
      <c r="A17" s="103" t="s">
        <v>110</v>
      </c>
      <c r="B17" s="103"/>
      <c r="C17" s="103"/>
      <c r="D17" s="103"/>
    </row>
    <row r="18" spans="1:4" x14ac:dyDescent="0.3">
      <c r="A18" s="50" t="s">
        <v>93</v>
      </c>
      <c r="B18" s="51" t="s">
        <v>94</v>
      </c>
      <c r="C18" s="51" t="s">
        <v>95</v>
      </c>
      <c r="D18" s="51" t="s">
        <v>96</v>
      </c>
    </row>
    <row r="19" spans="1:4" ht="28.8" x14ac:dyDescent="0.3">
      <c r="A19" s="48">
        <v>9</v>
      </c>
      <c r="B19" s="46" t="s">
        <v>116</v>
      </c>
      <c r="C19" s="40" t="s">
        <v>200</v>
      </c>
      <c r="D19" s="60" t="s">
        <v>111</v>
      </c>
    </row>
    <row r="20" spans="1:4" ht="28.8" x14ac:dyDescent="0.3">
      <c r="A20" s="49">
        <v>10</v>
      </c>
      <c r="B20" s="47" t="s">
        <v>115</v>
      </c>
      <c r="C20" s="42" t="s">
        <v>202</v>
      </c>
      <c r="D20" s="47" t="s">
        <v>112</v>
      </c>
    </row>
    <row r="21" spans="1:4" ht="28.8" x14ac:dyDescent="0.3">
      <c r="A21" s="48">
        <v>11</v>
      </c>
      <c r="B21" s="46" t="s">
        <v>349</v>
      </c>
      <c r="C21" s="40" t="s">
        <v>203</v>
      </c>
      <c r="D21" s="46" t="s">
        <v>113</v>
      </c>
    </row>
    <row r="22" spans="1:4" ht="28.8" x14ac:dyDescent="0.3">
      <c r="A22" s="52">
        <v>12</v>
      </c>
      <c r="B22" s="53" t="s">
        <v>114</v>
      </c>
      <c r="C22" s="54" t="s">
        <v>317</v>
      </c>
      <c r="D22" s="53" t="s">
        <v>312</v>
      </c>
    </row>
    <row r="25" spans="1:4" ht="15.6" x14ac:dyDescent="0.3">
      <c r="A25" s="100" t="s">
        <v>117</v>
      </c>
      <c r="B25" s="100"/>
      <c r="C25" s="100"/>
      <c r="D25" s="100"/>
    </row>
    <row r="26" spans="1:4" x14ac:dyDescent="0.3">
      <c r="A26" s="55" t="s">
        <v>93</v>
      </c>
      <c r="B26" s="51" t="s">
        <v>94</v>
      </c>
      <c r="C26" s="51" t="s">
        <v>95</v>
      </c>
      <c r="D26" s="56" t="s">
        <v>96</v>
      </c>
    </row>
    <row r="27" spans="1:4" ht="28.8" x14ac:dyDescent="0.3">
      <c r="A27" s="39">
        <v>13</v>
      </c>
      <c r="B27" s="46" t="s">
        <v>118</v>
      </c>
      <c r="C27" s="40" t="s">
        <v>322</v>
      </c>
      <c r="D27" s="61" t="s">
        <v>121</v>
      </c>
    </row>
    <row r="28" spans="1:4" ht="28.8" x14ac:dyDescent="0.3">
      <c r="A28" s="41">
        <v>14</v>
      </c>
      <c r="B28" s="47" t="s">
        <v>119</v>
      </c>
      <c r="C28" s="42" t="s">
        <v>204</v>
      </c>
      <c r="D28" s="43" t="s">
        <v>345</v>
      </c>
    </row>
    <row r="29" spans="1:4" x14ac:dyDescent="0.3">
      <c r="A29" s="39">
        <v>15</v>
      </c>
      <c r="B29" s="46" t="s">
        <v>120</v>
      </c>
      <c r="C29" s="40" t="s">
        <v>321</v>
      </c>
      <c r="D29" s="44" t="s">
        <v>122</v>
      </c>
    </row>
    <row r="30" spans="1:4" x14ac:dyDescent="0.3">
      <c r="A30" s="41">
        <v>16</v>
      </c>
      <c r="B30" s="47" t="s">
        <v>348</v>
      </c>
      <c r="C30" s="45" t="s">
        <v>205</v>
      </c>
      <c r="D30" s="43" t="s">
        <v>123</v>
      </c>
    </row>
    <row r="31" spans="1:4" ht="28.8" x14ac:dyDescent="0.3">
      <c r="A31" s="57">
        <v>17</v>
      </c>
      <c r="B31" s="38" t="s">
        <v>124</v>
      </c>
      <c r="C31" s="34" t="s">
        <v>206</v>
      </c>
      <c r="D31" s="31" t="s">
        <v>344</v>
      </c>
    </row>
    <row r="34" spans="1:4" ht="15.6" x14ac:dyDescent="0.3">
      <c r="A34" s="100" t="s">
        <v>325</v>
      </c>
      <c r="B34" s="100"/>
      <c r="C34" s="100"/>
      <c r="D34" s="100"/>
    </row>
    <row r="35" spans="1:4" x14ac:dyDescent="0.3">
      <c r="A35" s="50" t="s">
        <v>93</v>
      </c>
      <c r="B35" s="51" t="s">
        <v>94</v>
      </c>
      <c r="C35" s="51" t="s">
        <v>95</v>
      </c>
      <c r="D35" s="51" t="s">
        <v>96</v>
      </c>
    </row>
    <row r="36" spans="1:4" x14ac:dyDescent="0.3">
      <c r="A36" s="48">
        <v>18</v>
      </c>
      <c r="B36" s="46" t="s">
        <v>125</v>
      </c>
      <c r="C36" s="40" t="s">
        <v>320</v>
      </c>
      <c r="D36" s="60" t="s">
        <v>129</v>
      </c>
    </row>
    <row r="37" spans="1:4" x14ac:dyDescent="0.3">
      <c r="A37" s="49">
        <v>19</v>
      </c>
      <c r="B37" s="47" t="s">
        <v>126</v>
      </c>
      <c r="C37" s="42" t="s">
        <v>207</v>
      </c>
      <c r="D37" s="47" t="s">
        <v>343</v>
      </c>
    </row>
    <row r="38" spans="1:4" ht="28.8" x14ac:dyDescent="0.3">
      <c r="A38" s="48">
        <v>20</v>
      </c>
      <c r="B38" s="46" t="s">
        <v>127</v>
      </c>
      <c r="C38" s="40" t="s">
        <v>326</v>
      </c>
      <c r="D38" s="46" t="s">
        <v>130</v>
      </c>
    </row>
    <row r="39" spans="1:4" ht="28.8" x14ac:dyDescent="0.3">
      <c r="A39" s="52">
        <v>21</v>
      </c>
      <c r="B39" s="53" t="s">
        <v>128</v>
      </c>
      <c r="C39" s="54" t="s">
        <v>313</v>
      </c>
      <c r="D39" s="53" t="s">
        <v>342</v>
      </c>
    </row>
    <row r="42" spans="1:4" ht="15.6" x14ac:dyDescent="0.3">
      <c r="A42" s="100" t="s">
        <v>334</v>
      </c>
      <c r="B42" s="100"/>
      <c r="C42" s="100"/>
      <c r="D42" s="100"/>
    </row>
    <row r="43" spans="1:4" x14ac:dyDescent="0.3">
      <c r="A43" s="50" t="s">
        <v>93</v>
      </c>
      <c r="B43" s="51" t="s">
        <v>94</v>
      </c>
      <c r="C43" s="51" t="s">
        <v>95</v>
      </c>
      <c r="D43" s="51" t="s">
        <v>96</v>
      </c>
    </row>
    <row r="44" spans="1:4" ht="28.8" x14ac:dyDescent="0.3">
      <c r="A44" s="48">
        <v>22</v>
      </c>
      <c r="B44" s="46" t="s">
        <v>335</v>
      </c>
      <c r="C44" s="40" t="s">
        <v>340</v>
      </c>
      <c r="D44" s="60" t="s">
        <v>346</v>
      </c>
    </row>
    <row r="45" spans="1:4" ht="43.2" x14ac:dyDescent="0.3">
      <c r="A45" s="49">
        <v>23</v>
      </c>
      <c r="B45" s="47" t="s">
        <v>336</v>
      </c>
      <c r="C45" s="42" t="s">
        <v>339</v>
      </c>
      <c r="D45" s="47" t="s">
        <v>341</v>
      </c>
    </row>
    <row r="46" spans="1:4" ht="28.8" x14ac:dyDescent="0.3">
      <c r="A46" s="88">
        <v>24</v>
      </c>
      <c r="B46" s="89" t="s">
        <v>337</v>
      </c>
      <c r="C46" s="90" t="s">
        <v>338</v>
      </c>
      <c r="D46" s="89" t="s">
        <v>347</v>
      </c>
    </row>
    <row r="49" spans="1:4" ht="15.6" x14ac:dyDescent="0.3">
      <c r="A49" s="100" t="s">
        <v>350</v>
      </c>
      <c r="B49" s="100"/>
      <c r="C49" s="100"/>
      <c r="D49" s="100"/>
    </row>
    <row r="50" spans="1:4" x14ac:dyDescent="0.3">
      <c r="A50" s="85" t="s">
        <v>93</v>
      </c>
      <c r="B50" s="86" t="s">
        <v>94</v>
      </c>
      <c r="C50" s="86" t="s">
        <v>95</v>
      </c>
      <c r="D50" s="87" t="s">
        <v>96</v>
      </c>
    </row>
    <row r="51" spans="1:4" ht="28.8" x14ac:dyDescent="0.3">
      <c r="A51" s="39">
        <v>25</v>
      </c>
      <c r="B51" s="46" t="s">
        <v>351</v>
      </c>
      <c r="C51" s="40" t="s">
        <v>353</v>
      </c>
      <c r="D51" s="61" t="s">
        <v>355</v>
      </c>
    </row>
    <row r="52" spans="1:4" ht="43.2" x14ac:dyDescent="0.3">
      <c r="A52" s="41">
        <v>26</v>
      </c>
      <c r="B52" s="47" t="s">
        <v>352</v>
      </c>
      <c r="C52" s="42" t="s">
        <v>354</v>
      </c>
      <c r="D52" s="43" t="s">
        <v>356</v>
      </c>
    </row>
  </sheetData>
  <mergeCells count="7">
    <mergeCell ref="A42:D42"/>
    <mergeCell ref="A49:D49"/>
    <mergeCell ref="A1:D1"/>
    <mergeCell ref="A8:D8"/>
    <mergeCell ref="A17:D17"/>
    <mergeCell ref="A25:D25"/>
    <mergeCell ref="A34:D34"/>
  </mergeCells>
  <pageMargins left="0.7" right="0.7" top="0.75" bottom="0.75" header="0.3" footer="0.3"/>
  <tableParts count="6">
    <tablePart r:id="rId1"/>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01_Pertanyaan</vt:lpstr>
      <vt:lpstr>02_Data_Kotor</vt:lpstr>
      <vt:lpstr>02b_Log_Cleaning</vt:lpstr>
      <vt:lpstr>03_Data Bersih + Analisis</vt:lpstr>
      <vt:lpstr>04_Pivot_Table</vt:lpstr>
      <vt:lpstr>05_Dashboard</vt:lpstr>
      <vt:lpstr>06_Jawaban + Rekomendasi</vt:lpstr>
      <vt:lpstr>07_Dokumentasi_Rumus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2026-10-26T01:12:41Z</dcterms:created>
  <dcterms:modified xsi:type="dcterms:W3CDTF">2026-10-28T01:35:21Z</dcterms:modified>
</cp:coreProperties>
</file>